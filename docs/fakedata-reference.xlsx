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ongmuyi\Project\home-financial-assistant\docs\"/>
    </mc:Choice>
  </mc:AlternateContent>
  <bookViews>
    <workbookView xWindow="0" yWindow="0" windowWidth="25605" windowHeight="10275"/>
  </bookViews>
  <sheets>
    <sheet name="收益填报" sheetId="3" r:id="rId1"/>
    <sheet name="六月 (2)" sheetId="2" r:id="rId2"/>
    <sheet name="六月" sheetId="1" r:id="rId3"/>
  </sheets>
  <calcPr calcId="162913"/>
</workbook>
</file>

<file path=xl/calcChain.xml><?xml version="1.0" encoding="utf-8"?>
<calcChain xmlns="http://schemas.openxmlformats.org/spreadsheetml/2006/main">
  <c r="H19" i="3" l="1"/>
  <c r="J19" i="3"/>
  <c r="I19" i="3"/>
  <c r="K41" i="2" l="1"/>
  <c r="I33" i="2" l="1"/>
  <c r="I37" i="2"/>
  <c r="I38" i="2" s="1"/>
  <c r="I39" i="2" s="1"/>
  <c r="F5" i="2" l="1"/>
  <c r="M39" i="2"/>
  <c r="F44" i="2" l="1"/>
  <c r="H16" i="2" l="1"/>
  <c r="F45" i="2" l="1"/>
  <c r="D49" i="2" s="1"/>
  <c r="D48" i="2" l="1"/>
  <c r="H45" i="2"/>
  <c r="D44" i="2"/>
  <c r="N42" i="2"/>
  <c r="J37" i="2"/>
  <c r="J38" i="2" s="1"/>
  <c r="J39" i="2" s="1"/>
  <c r="H37" i="2"/>
  <c r="G37" i="2"/>
  <c r="G38" i="2" s="1"/>
  <c r="G39" i="2" s="1"/>
  <c r="F37" i="2"/>
  <c r="F38" i="2" s="1"/>
  <c r="F39" i="2" s="1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H38" i="2" l="1"/>
  <c r="H39" i="2" s="1"/>
  <c r="M42" i="1"/>
  <c r="G37" i="1" l="1"/>
  <c r="G38" i="1" s="1"/>
  <c r="G39" i="1" s="1"/>
  <c r="D48" i="1"/>
  <c r="I37" i="1"/>
  <c r="I38" i="1"/>
  <c r="I39" i="1" s="1"/>
  <c r="H45" i="1" l="1"/>
  <c r="H37" i="1"/>
  <c r="H38" i="1" s="1"/>
  <c r="H39" i="1" s="1"/>
  <c r="F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F38" i="1" l="1"/>
  <c r="F39" i="1" s="1"/>
  <c r="D49" i="1"/>
  <c r="D44" i="1"/>
</calcChain>
</file>

<file path=xl/sharedStrings.xml><?xml version="1.0" encoding="utf-8"?>
<sst xmlns="http://schemas.openxmlformats.org/spreadsheetml/2006/main" count="189" uniqueCount="86">
  <si>
    <t>参加活动</t>
  </si>
  <si>
    <t>* 为可用不可取，三方管存资金算银行日均</t>
  </si>
  <si>
    <t>申万</t>
  </si>
  <si>
    <t>总计</t>
  </si>
  <si>
    <t>xx节点</t>
  </si>
  <si>
    <t>日</t>
  </si>
  <si>
    <t>一</t>
  </si>
  <si>
    <t>二</t>
  </si>
  <si>
    <t>三</t>
  </si>
  <si>
    <t>四</t>
  </si>
  <si>
    <t>五</t>
  </si>
  <si>
    <t>六</t>
  </si>
  <si>
    <t>本月累计</t>
  </si>
  <si>
    <t>本月日均</t>
  </si>
  <si>
    <t>资产提升</t>
  </si>
  <si>
    <t>目标</t>
  </si>
  <si>
    <t>Get</t>
  </si>
  <si>
    <t>活动收益：</t>
  </si>
  <si>
    <t>通知+理财收益：</t>
  </si>
  <si>
    <t>活动年化：</t>
  </si>
  <si>
    <t>逆回购收益：</t>
  </si>
  <si>
    <t>打新收益：</t>
  </si>
  <si>
    <t>短债收益：</t>
  </si>
  <si>
    <t>打新收益</t>
    <phoneticPr fontId="12" type="noConversion"/>
  </si>
  <si>
    <t>备注</t>
    <phoneticPr fontId="12" type="noConversion"/>
  </si>
  <si>
    <t>打新</t>
    <phoneticPr fontId="12" type="noConversion"/>
  </si>
  <si>
    <t>冲量收益：</t>
    <phoneticPr fontId="12" type="noConversion"/>
  </si>
  <si>
    <t xml:space="preserve">
</t>
    <phoneticPr fontId="12" type="noConversion"/>
  </si>
  <si>
    <t>一</t>
    <phoneticPr fontId="12" type="noConversion"/>
  </si>
  <si>
    <t>二</t>
    <phoneticPr fontId="12" type="noConversion"/>
  </si>
  <si>
    <t>WQ建行</t>
    <phoneticPr fontId="12" type="noConversion"/>
  </si>
  <si>
    <t>6月</t>
    <phoneticPr fontId="12" type="noConversion"/>
  </si>
  <si>
    <t>5月日均</t>
    <phoneticPr fontId="12" type="noConversion"/>
  </si>
  <si>
    <t>WQ中行</t>
    <phoneticPr fontId="12" type="noConversion"/>
  </si>
  <si>
    <t>*9700000</t>
    <phoneticPr fontId="12" type="noConversion"/>
  </si>
  <si>
    <t>六月总收益</t>
    <phoneticPr fontId="12" type="noConversion"/>
  </si>
  <si>
    <t>六月年化：</t>
    <phoneticPr fontId="12" type="noConversion"/>
  </si>
  <si>
    <t>*10800000</t>
    <phoneticPr fontId="12" type="noConversion"/>
  </si>
  <si>
    <t>CML建行</t>
    <phoneticPr fontId="7" type="noConversion"/>
  </si>
  <si>
    <t>SMY发工资5w，借款65w</t>
    <phoneticPr fontId="7" type="noConversion"/>
  </si>
  <si>
    <t>*41600000</t>
    <phoneticPr fontId="7" type="noConversion"/>
  </si>
  <si>
    <t>申购+逆回购</t>
    <phoneticPr fontId="7" type="noConversion"/>
  </si>
  <si>
    <t>*7770000</t>
    <phoneticPr fontId="7" type="noConversion"/>
  </si>
  <si>
    <t>申购两户</t>
    <phoneticPr fontId="7" type="noConversion"/>
  </si>
  <si>
    <t>有一户他人申购</t>
    <phoneticPr fontId="7" type="noConversion"/>
  </si>
  <si>
    <t>*13200000</t>
    <phoneticPr fontId="7" type="noConversion"/>
  </si>
  <si>
    <t>SHT建行</t>
    <phoneticPr fontId="7" type="noConversion"/>
  </si>
  <si>
    <t>5月</t>
    <phoneticPr fontId="12" type="noConversion"/>
  </si>
  <si>
    <t>序号</t>
    <phoneticPr fontId="18" type="noConversion"/>
  </si>
  <si>
    <t>开始日期</t>
    <phoneticPr fontId="18" type="noConversion"/>
  </si>
  <si>
    <t>结束日期</t>
    <phoneticPr fontId="18" type="noConversion"/>
  </si>
  <si>
    <t>银行/券商</t>
    <phoneticPr fontId="18" type="noConversion"/>
  </si>
  <si>
    <t>理财产品</t>
    <phoneticPr fontId="18" type="noConversion"/>
  </si>
  <si>
    <t>本金（万）</t>
    <phoneticPr fontId="18" type="noConversion"/>
  </si>
  <si>
    <t>年化收益率</t>
    <phoneticPr fontId="18" type="noConversion"/>
  </si>
  <si>
    <t>贴息</t>
    <phoneticPr fontId="18" type="noConversion"/>
  </si>
  <si>
    <t>天数</t>
    <phoneticPr fontId="18" type="noConversion"/>
  </si>
  <si>
    <t>收益（元）</t>
    <phoneticPr fontId="18" type="noConversion"/>
  </si>
  <si>
    <t>备注</t>
    <phoneticPr fontId="18" type="noConversion"/>
  </si>
  <si>
    <t>康美特与月末冲量冲突不申购</t>
    <phoneticPr fontId="18" type="noConversion"/>
  </si>
  <si>
    <t>年化</t>
    <phoneticPr fontId="18" type="noConversion"/>
  </si>
  <si>
    <r>
      <t>1</t>
    </r>
    <r>
      <rPr>
        <sz val="11"/>
        <rFont val="等线"/>
        <family val="3"/>
        <charset val="134"/>
      </rPr>
      <t>.20</t>
    </r>
    <phoneticPr fontId="18" type="noConversion"/>
  </si>
  <si>
    <t>1.30</t>
    <phoneticPr fontId="18" type="noConversion"/>
  </si>
  <si>
    <r>
      <t>0</t>
    </r>
    <r>
      <rPr>
        <sz val="11"/>
        <rFont val="等线"/>
        <family val="3"/>
        <charset val="134"/>
      </rPr>
      <t>.55</t>
    </r>
    <phoneticPr fontId="18" type="noConversion"/>
  </si>
  <si>
    <t>申万宏源</t>
    <phoneticPr fontId="18" type="noConversion"/>
  </si>
  <si>
    <t>杭州银行</t>
    <phoneticPr fontId="18" type="noConversion"/>
  </si>
  <si>
    <t>江苏银行</t>
    <phoneticPr fontId="18" type="noConversion"/>
  </si>
  <si>
    <t>未上市</t>
    <phoneticPr fontId="18" type="noConversion"/>
  </si>
  <si>
    <t>未上市</t>
    <phoneticPr fontId="18" type="noConversion"/>
  </si>
  <si>
    <t>金戈新材申购</t>
    <phoneticPr fontId="18" type="noConversion"/>
  </si>
  <si>
    <t>永达股份申购</t>
    <phoneticPr fontId="18" type="noConversion"/>
  </si>
  <si>
    <t>新瑞电子上市</t>
    <phoneticPr fontId="18" type="noConversion"/>
  </si>
  <si>
    <t>通知存款</t>
    <phoneticPr fontId="18" type="noConversion"/>
  </si>
  <si>
    <t>彩客科技上市</t>
    <phoneticPr fontId="18" type="noConversion"/>
  </si>
  <si>
    <t>通知存款</t>
    <phoneticPr fontId="18" type="noConversion"/>
  </si>
  <si>
    <t>金戈新材上市</t>
    <phoneticPr fontId="18" type="noConversion"/>
  </si>
  <si>
    <t>国债逆回购</t>
    <phoneticPr fontId="18" type="noConversion"/>
  </si>
  <si>
    <t>永达股份上市</t>
    <phoneticPr fontId="18" type="noConversion"/>
  </si>
  <si>
    <t>科莱瑞迪申购</t>
    <phoneticPr fontId="18" type="noConversion"/>
  </si>
  <si>
    <t>吉和昌申购</t>
    <phoneticPr fontId="18" type="noConversion"/>
  </si>
  <si>
    <t>永励精密申购</t>
    <phoneticPr fontId="18" type="noConversion"/>
  </si>
  <si>
    <t>通知存款</t>
    <phoneticPr fontId="18" type="noConversion"/>
  </si>
  <si>
    <t>科莱瑞迪上市</t>
    <phoneticPr fontId="18" type="noConversion"/>
  </si>
  <si>
    <t>益坤电气上市</t>
    <phoneticPr fontId="18" type="noConversion"/>
  </si>
  <si>
    <t>益坤电气申购</t>
    <phoneticPr fontId="18" type="noConversion"/>
  </si>
  <si>
    <t>合计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</si>
</sst>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 "/>
    <numFmt numFmtId="177" formatCode="0_ "/>
    <numFmt numFmtId="178" formatCode="0.00_ "/>
    <numFmt numFmtId="182" formatCode="#,##0.00_);[Red]\(#,##0.00\)"/>
  </numFmts>
  <fonts count="21">
    <font>
      <sz val="11"/>
      <name val="等线"/>
      <charset val="134"/>
    </font>
    <font>
      <b/>
      <sz val="12"/>
      <name val="等线"/>
      <family val="3"/>
      <charset val="134"/>
    </font>
    <font>
      <sz val="11"/>
      <color theme="1" tint="0.499984740745262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theme="2" tint="-0.249977111117893"/>
      <name val="等线"/>
      <family val="3"/>
      <charset val="134"/>
    </font>
    <font>
      <sz val="11"/>
      <color rgb="FF0070C0"/>
      <name val="等线"/>
      <family val="3"/>
      <charset val="134"/>
    </font>
    <font>
      <sz val="9"/>
      <name val="等线"/>
      <family val="3"/>
      <charset val="134"/>
    </font>
    <font>
      <sz val="12"/>
      <name val="等线"/>
      <family val="3"/>
      <charset val="134"/>
    </font>
    <font>
      <sz val="11"/>
      <color theme="1"/>
      <name val="等线"/>
      <family val="3"/>
      <charset val="134"/>
    </font>
    <font>
      <b/>
      <sz val="12"/>
      <color theme="1" tint="0.499984740745262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sz val="12"/>
      <name val="等线"/>
      <family val="3"/>
      <charset val="134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 tint="0.499984740745262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charset val="134"/>
    </font>
    <font>
      <b/>
      <sz val="11"/>
      <name val="等线"/>
      <family val="3"/>
      <charset val="134"/>
    </font>
    <font>
      <b/>
      <sz val="11"/>
      <color rgb="FFFF0000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E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8" fontId="2" fillId="0" borderId="0" xfId="0" applyNumberFormat="1" applyFont="1">
      <alignment vertical="center"/>
    </xf>
    <xf numFmtId="0" fontId="6" fillId="0" borderId="0" xfId="0" applyFont="1">
      <alignment vertical="center"/>
    </xf>
    <xf numFmtId="178" fontId="6" fillId="0" borderId="0" xfId="0" applyNumberFormat="1" applyFont="1">
      <alignment vertical="center"/>
    </xf>
    <xf numFmtId="0" fontId="7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8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3" borderId="2" xfId="0" applyNumberFormat="1" applyFont="1" applyFill="1" applyBorder="1">
      <alignment vertical="center"/>
    </xf>
    <xf numFmtId="176" fontId="3" fillId="4" borderId="2" xfId="0" applyNumberFormat="1" applyFont="1" applyFill="1" applyBorder="1">
      <alignment vertical="center"/>
    </xf>
    <xf numFmtId="176" fontId="9" fillId="0" borderId="1" xfId="0" applyNumberFormat="1" applyFont="1" applyBorder="1">
      <alignment vertical="center"/>
    </xf>
    <xf numFmtId="176" fontId="9" fillId="7" borderId="1" xfId="0" applyNumberFormat="1" applyFont="1" applyFill="1" applyBorder="1" applyAlignment="1">
      <alignment horizontal="right" vertical="center"/>
    </xf>
    <xf numFmtId="38" fontId="2" fillId="5" borderId="1" xfId="0" applyNumberFormat="1" applyFont="1" applyFill="1" applyBorder="1" applyAlignment="1">
      <alignment horizontal="right" vertical="center"/>
    </xf>
    <xf numFmtId="38" fontId="3" fillId="5" borderId="1" xfId="0" applyNumberFormat="1" applyFont="1" applyFill="1" applyBorder="1">
      <alignment vertical="center"/>
    </xf>
    <xf numFmtId="38" fontId="2" fillId="3" borderId="1" xfId="0" applyNumberFormat="1" applyFont="1" applyFill="1" applyBorder="1" applyAlignment="1">
      <alignment horizontal="right" vertical="center"/>
    </xf>
    <xf numFmtId="38" fontId="3" fillId="3" borderId="1" xfId="0" applyNumberFormat="1" applyFont="1" applyFill="1" applyBorder="1">
      <alignment vertical="center"/>
    </xf>
    <xf numFmtId="38" fontId="4" fillId="6" borderId="1" xfId="0" applyNumberFormat="1" applyFont="1" applyFill="1" applyBorder="1">
      <alignment vertical="center"/>
    </xf>
    <xf numFmtId="38" fontId="4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38" fontId="3" fillId="0" borderId="1" xfId="0" applyNumberFormat="1" applyFont="1" applyFill="1" applyBorder="1" applyAlignment="1">
      <alignment horizontal="center"/>
    </xf>
    <xf numFmtId="38" fontId="1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  <xf numFmtId="0" fontId="10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13" fillId="6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top" wrapText="1"/>
    </xf>
    <xf numFmtId="0" fontId="14" fillId="0" borderId="0" xfId="0" applyFont="1">
      <alignment vertical="center"/>
    </xf>
    <xf numFmtId="38" fontId="15" fillId="0" borderId="1" xfId="0" applyNumberFormat="1" applyFont="1" applyFill="1" applyBorder="1" applyAlignment="1">
      <alignment horizontal="center"/>
    </xf>
    <xf numFmtId="0" fontId="16" fillId="0" borderId="0" xfId="0" applyFont="1">
      <alignment vertical="center"/>
    </xf>
    <xf numFmtId="0" fontId="16" fillId="6" borderId="0" xfId="0" applyFont="1" applyFill="1" applyAlignment="1">
      <alignment horizontal="center" vertical="center"/>
    </xf>
    <xf numFmtId="176" fontId="17" fillId="0" borderId="1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9" fillId="6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14" fillId="0" borderId="1" xfId="0" applyFont="1" applyBorder="1">
      <alignment vertical="center"/>
    </xf>
    <xf numFmtId="182" fontId="14" fillId="0" borderId="1" xfId="0" applyNumberFormat="1" applyFont="1" applyBorder="1">
      <alignment vertical="center"/>
    </xf>
    <xf numFmtId="0" fontId="0" fillId="8" borderId="1" xfId="0" applyFill="1" applyBorder="1">
      <alignment vertical="center"/>
    </xf>
    <xf numFmtId="0" fontId="19" fillId="8" borderId="1" xfId="0" applyFont="1" applyFill="1" applyBorder="1">
      <alignment vertical="center"/>
    </xf>
    <xf numFmtId="182" fontId="19" fillId="8" borderId="1" xfId="0" applyNumberFormat="1" applyFont="1" applyFill="1" applyBorder="1">
      <alignment vertical="center"/>
    </xf>
    <xf numFmtId="0" fontId="20" fillId="0" borderId="1" xfId="0" applyFont="1" applyBorder="1">
      <alignment vertical="center"/>
    </xf>
    <xf numFmtId="10" fontId="20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workbookViewId="0">
      <selection activeCell="M24" sqref="M24"/>
    </sheetView>
  </sheetViews>
  <sheetFormatPr defaultRowHeight="14.25"/>
  <cols>
    <col min="1" max="4" width="11.875" customWidth="1"/>
    <col min="5" max="5" width="16" customWidth="1"/>
    <col min="6" max="10" width="11.875" customWidth="1"/>
    <col min="11" max="11" width="27.625" bestFit="1" customWidth="1"/>
  </cols>
  <sheetData>
    <row r="1" spans="1:11">
      <c r="A1" s="67" t="s">
        <v>48</v>
      </c>
      <c r="B1" s="67" t="s">
        <v>49</v>
      </c>
      <c r="C1" s="67" t="s">
        <v>50</v>
      </c>
      <c r="D1" s="67" t="s">
        <v>51</v>
      </c>
      <c r="E1" s="67" t="s">
        <v>52</v>
      </c>
      <c r="F1" s="67" t="s">
        <v>53</v>
      </c>
      <c r="G1" s="67" t="s">
        <v>54</v>
      </c>
      <c r="H1" s="67" t="s">
        <v>55</v>
      </c>
      <c r="I1" s="67" t="s">
        <v>56</v>
      </c>
      <c r="J1" s="67" t="s">
        <v>57</v>
      </c>
      <c r="K1" s="67" t="s">
        <v>58</v>
      </c>
    </row>
    <row r="2" spans="1:11">
      <c r="A2" s="68">
        <v>1</v>
      </c>
      <c r="B2" s="69">
        <v>46174</v>
      </c>
      <c r="C2" s="69">
        <v>46176</v>
      </c>
      <c r="D2" s="70" t="s">
        <v>64</v>
      </c>
      <c r="E2" s="70" t="s">
        <v>69</v>
      </c>
      <c r="F2" s="71">
        <v>324.25</v>
      </c>
      <c r="G2" s="71"/>
      <c r="H2" s="68"/>
      <c r="I2" s="68">
        <v>2</v>
      </c>
      <c r="J2" s="71">
        <v>0</v>
      </c>
      <c r="K2" s="68"/>
    </row>
    <row r="3" spans="1:11">
      <c r="A3" s="68">
        <v>2</v>
      </c>
      <c r="B3" s="69">
        <v>46176</v>
      </c>
      <c r="C3" s="69">
        <v>46178</v>
      </c>
      <c r="D3" s="70" t="s">
        <v>64</v>
      </c>
      <c r="E3" s="70" t="s">
        <v>70</v>
      </c>
      <c r="F3" s="71">
        <v>324.25</v>
      </c>
      <c r="G3" s="71"/>
      <c r="H3" s="68"/>
      <c r="I3" s="68">
        <v>2</v>
      </c>
      <c r="J3" s="71">
        <v>0</v>
      </c>
      <c r="K3" s="68"/>
    </row>
    <row r="4" spans="1:11">
      <c r="A4" s="68">
        <v>3</v>
      </c>
      <c r="B4" s="69">
        <v>46178</v>
      </c>
      <c r="C4" s="69">
        <v>46178</v>
      </c>
      <c r="D4" s="70" t="s">
        <v>64</v>
      </c>
      <c r="E4" s="70" t="s">
        <v>71</v>
      </c>
      <c r="F4" s="71">
        <v>320.85000000000002</v>
      </c>
      <c r="G4" s="71"/>
      <c r="H4" s="68">
        <v>32</v>
      </c>
      <c r="I4" s="68">
        <v>0</v>
      </c>
      <c r="J4" s="71">
        <v>10267.200000000001</v>
      </c>
      <c r="K4" s="68"/>
    </row>
    <row r="5" spans="1:11">
      <c r="A5" s="68">
        <v>4</v>
      </c>
      <c r="B5" s="69">
        <v>46178</v>
      </c>
      <c r="C5" s="69">
        <v>46181</v>
      </c>
      <c r="D5" s="70" t="s">
        <v>65</v>
      </c>
      <c r="E5" s="70" t="s">
        <v>72</v>
      </c>
      <c r="F5" s="71">
        <v>324.25</v>
      </c>
      <c r="G5" s="71" t="s">
        <v>61</v>
      </c>
      <c r="H5" s="68"/>
      <c r="I5" s="68">
        <v>3</v>
      </c>
      <c r="J5" s="71">
        <v>324.25</v>
      </c>
      <c r="K5" s="68"/>
    </row>
    <row r="6" spans="1:11">
      <c r="A6" s="68">
        <v>5</v>
      </c>
      <c r="B6" s="69">
        <v>46181</v>
      </c>
      <c r="C6" s="69">
        <v>46181</v>
      </c>
      <c r="D6" s="70" t="s">
        <v>64</v>
      </c>
      <c r="E6" s="70" t="s">
        <v>73</v>
      </c>
      <c r="F6" s="71">
        <v>320.85000000000002</v>
      </c>
      <c r="G6" s="71"/>
      <c r="H6" s="68">
        <v>8</v>
      </c>
      <c r="I6" s="68">
        <v>0</v>
      </c>
      <c r="J6" s="71">
        <v>2566.8000000000002</v>
      </c>
      <c r="K6" s="68"/>
    </row>
    <row r="7" spans="1:11">
      <c r="A7" s="68">
        <v>6</v>
      </c>
      <c r="B7" s="69">
        <v>46181</v>
      </c>
      <c r="C7" s="69">
        <v>46184</v>
      </c>
      <c r="D7" s="70" t="s">
        <v>65</v>
      </c>
      <c r="E7" s="70" t="s">
        <v>74</v>
      </c>
      <c r="F7" s="71">
        <v>324.25</v>
      </c>
      <c r="G7" s="71" t="s">
        <v>61</v>
      </c>
      <c r="H7" s="68"/>
      <c r="I7" s="68">
        <v>3</v>
      </c>
      <c r="J7" s="71">
        <v>324.25</v>
      </c>
      <c r="K7" s="68"/>
    </row>
    <row r="8" spans="1:11">
      <c r="A8" s="68">
        <v>7</v>
      </c>
      <c r="B8" s="69">
        <v>46184</v>
      </c>
      <c r="C8" s="69">
        <v>46184</v>
      </c>
      <c r="D8" s="70" t="s">
        <v>64</v>
      </c>
      <c r="E8" s="70" t="s">
        <v>75</v>
      </c>
      <c r="F8" s="71">
        <v>324.25</v>
      </c>
      <c r="G8" s="71"/>
      <c r="H8" s="68">
        <v>11</v>
      </c>
      <c r="I8" s="68">
        <v>0</v>
      </c>
      <c r="J8" s="71">
        <v>3566.75</v>
      </c>
      <c r="K8" s="68"/>
    </row>
    <row r="9" spans="1:11">
      <c r="A9" s="68">
        <v>8</v>
      </c>
      <c r="B9" s="69">
        <v>46184</v>
      </c>
      <c r="C9" s="69">
        <v>46188</v>
      </c>
      <c r="D9" s="70" t="s">
        <v>64</v>
      </c>
      <c r="E9" s="70" t="s">
        <v>76</v>
      </c>
      <c r="F9" s="71">
        <v>324.25</v>
      </c>
      <c r="G9" s="71" t="s">
        <v>62</v>
      </c>
      <c r="H9" s="68"/>
      <c r="I9" s="68">
        <v>4</v>
      </c>
      <c r="J9" s="71">
        <v>468.36</v>
      </c>
      <c r="K9" s="68"/>
    </row>
    <row r="10" spans="1:11">
      <c r="A10" s="68">
        <v>9</v>
      </c>
      <c r="B10" s="69">
        <v>46188</v>
      </c>
      <c r="C10" s="69">
        <v>46188</v>
      </c>
      <c r="D10" s="70" t="s">
        <v>64</v>
      </c>
      <c r="E10" s="70" t="s">
        <v>77</v>
      </c>
      <c r="F10" s="71">
        <v>324.25</v>
      </c>
      <c r="G10" s="71"/>
      <c r="H10" s="68">
        <v>6</v>
      </c>
      <c r="I10" s="68">
        <v>0</v>
      </c>
      <c r="J10" s="71">
        <v>1945.5</v>
      </c>
      <c r="K10" s="68"/>
    </row>
    <row r="11" spans="1:11">
      <c r="A11" s="68">
        <v>10</v>
      </c>
      <c r="B11" s="69">
        <v>46188</v>
      </c>
      <c r="C11" s="69">
        <v>46190</v>
      </c>
      <c r="D11" s="70" t="s">
        <v>64</v>
      </c>
      <c r="E11" s="70" t="s">
        <v>78</v>
      </c>
      <c r="F11" s="71">
        <v>324.25</v>
      </c>
      <c r="G11" s="71"/>
      <c r="H11" s="68"/>
      <c r="I11" s="68">
        <v>2</v>
      </c>
      <c r="J11" s="71">
        <v>0</v>
      </c>
      <c r="K11" s="68"/>
    </row>
    <row r="12" spans="1:11">
      <c r="A12" s="68">
        <v>11</v>
      </c>
      <c r="B12" s="69">
        <v>46190</v>
      </c>
      <c r="C12" s="69">
        <v>46195</v>
      </c>
      <c r="D12" s="70" t="s">
        <v>64</v>
      </c>
      <c r="E12" s="70" t="s">
        <v>79</v>
      </c>
      <c r="F12" s="71">
        <v>324.25</v>
      </c>
      <c r="G12" s="71"/>
      <c r="H12" s="68"/>
      <c r="I12" s="68">
        <v>5</v>
      </c>
      <c r="J12" s="71">
        <v>0</v>
      </c>
      <c r="K12" s="70" t="s">
        <v>67</v>
      </c>
    </row>
    <row r="13" spans="1:11">
      <c r="A13" s="68">
        <v>12</v>
      </c>
      <c r="B13" s="69">
        <v>46195</v>
      </c>
      <c r="C13" s="69">
        <v>46197</v>
      </c>
      <c r="D13" s="70" t="s">
        <v>64</v>
      </c>
      <c r="E13" s="70" t="s">
        <v>84</v>
      </c>
      <c r="F13" s="71">
        <v>324.25</v>
      </c>
      <c r="G13" s="71"/>
      <c r="H13" s="68"/>
      <c r="I13" s="68">
        <v>2</v>
      </c>
      <c r="J13" s="71">
        <v>0</v>
      </c>
      <c r="K13" s="68"/>
    </row>
    <row r="14" spans="1:11">
      <c r="A14" s="68">
        <v>13</v>
      </c>
      <c r="B14" s="69">
        <v>46197</v>
      </c>
      <c r="C14" s="69">
        <v>46199</v>
      </c>
      <c r="D14" s="70" t="s">
        <v>64</v>
      </c>
      <c r="E14" s="70" t="s">
        <v>80</v>
      </c>
      <c r="F14" s="71">
        <v>324.25</v>
      </c>
      <c r="G14" s="71"/>
      <c r="H14" s="68"/>
      <c r="I14" s="68">
        <v>2</v>
      </c>
      <c r="J14" s="71">
        <v>0</v>
      </c>
      <c r="K14" s="70" t="s">
        <v>68</v>
      </c>
    </row>
    <row r="15" spans="1:11">
      <c r="A15" s="68">
        <v>14</v>
      </c>
      <c r="B15" s="69">
        <v>46199</v>
      </c>
      <c r="C15" s="69">
        <v>46203</v>
      </c>
      <c r="D15" s="70" t="s">
        <v>65</v>
      </c>
      <c r="E15" s="70" t="s">
        <v>81</v>
      </c>
      <c r="F15" s="71">
        <v>324.25</v>
      </c>
      <c r="G15" s="71" t="s">
        <v>63</v>
      </c>
      <c r="H15" s="68"/>
      <c r="I15" s="68">
        <v>4</v>
      </c>
      <c r="J15" s="71">
        <v>198.15</v>
      </c>
      <c r="K15" s="68"/>
    </row>
    <row r="16" spans="1:11">
      <c r="A16" s="68">
        <v>15</v>
      </c>
      <c r="B16" s="69">
        <v>46202</v>
      </c>
      <c r="C16" s="69">
        <v>46202</v>
      </c>
      <c r="D16" s="70" t="s">
        <v>64</v>
      </c>
      <c r="E16" s="70" t="s">
        <v>82</v>
      </c>
      <c r="F16" s="71">
        <v>324.25</v>
      </c>
      <c r="G16" s="71"/>
      <c r="H16" s="68">
        <v>22</v>
      </c>
      <c r="I16" s="68">
        <v>0</v>
      </c>
      <c r="J16" s="71">
        <v>7133.5</v>
      </c>
      <c r="K16" s="68"/>
    </row>
    <row r="17" spans="1:11">
      <c r="A17" s="68">
        <v>16</v>
      </c>
      <c r="B17" s="69">
        <v>46203</v>
      </c>
      <c r="C17" s="69">
        <v>46203</v>
      </c>
      <c r="D17" s="70" t="s">
        <v>64</v>
      </c>
      <c r="E17" s="70" t="s">
        <v>83</v>
      </c>
      <c r="F17" s="71">
        <v>324.25</v>
      </c>
      <c r="G17" s="71"/>
      <c r="H17" s="68">
        <v>6</v>
      </c>
      <c r="I17" s="68">
        <v>0</v>
      </c>
      <c r="J17" s="71">
        <v>1945.5</v>
      </c>
      <c r="K17" s="68"/>
    </row>
    <row r="18" spans="1:11">
      <c r="A18" s="68">
        <v>17</v>
      </c>
      <c r="B18" s="69">
        <v>46203</v>
      </c>
      <c r="C18" s="69">
        <v>46204</v>
      </c>
      <c r="D18" s="70" t="s">
        <v>66</v>
      </c>
      <c r="E18" s="70" t="s">
        <v>74</v>
      </c>
      <c r="F18" s="71">
        <v>324.25</v>
      </c>
      <c r="G18" s="71" t="s">
        <v>63</v>
      </c>
      <c r="H18" s="68">
        <v>15</v>
      </c>
      <c r="I18" s="68">
        <v>1</v>
      </c>
      <c r="J18" s="71">
        <v>4913.29</v>
      </c>
      <c r="K18" s="70" t="s">
        <v>59</v>
      </c>
    </row>
    <row r="19" spans="1:11">
      <c r="A19" s="72"/>
      <c r="B19" s="72"/>
      <c r="C19" s="72"/>
      <c r="D19" s="72"/>
      <c r="E19" s="72"/>
      <c r="F19" s="72"/>
      <c r="G19" s="73" t="s">
        <v>85</v>
      </c>
      <c r="H19" s="73">
        <f>SUM(H2:H18)</f>
        <v>100</v>
      </c>
      <c r="I19" s="73">
        <f>SUM(I2:I18)</f>
        <v>30</v>
      </c>
      <c r="J19" s="74">
        <f>SUM(J2:J18)</f>
        <v>33653.550000000003</v>
      </c>
      <c r="K19" s="72"/>
    </row>
    <row r="20" spans="1:11">
      <c r="A20" s="68"/>
      <c r="B20" s="68"/>
      <c r="C20" s="68"/>
      <c r="D20" s="68"/>
      <c r="E20" s="68"/>
      <c r="F20" s="68"/>
      <c r="G20" s="68"/>
      <c r="H20" s="68"/>
      <c r="I20" s="75" t="s">
        <v>60</v>
      </c>
      <c r="J20" s="76">
        <v>0.1245</v>
      </c>
      <c r="K20" s="68"/>
    </row>
    <row r="24" spans="1:11">
      <c r="A24" s="65"/>
    </row>
    <row r="30" spans="1:11">
      <c r="A30" s="65"/>
    </row>
    <row r="31" spans="1:11">
      <c r="A31" s="65"/>
    </row>
    <row r="43" spans="1:1">
      <c r="A43" s="65"/>
    </row>
    <row r="48" spans="1:1">
      <c r="A48" s="65"/>
    </row>
    <row r="51" spans="1:1">
      <c r="A51" s="65"/>
    </row>
    <row r="52" spans="1:1">
      <c r="A52" s="65"/>
    </row>
    <row r="59" spans="1:1">
      <c r="A59" s="65"/>
    </row>
    <row r="60" spans="1:1">
      <c r="A60" s="65"/>
    </row>
    <row r="70" spans="1:1">
      <c r="A70" s="65"/>
    </row>
    <row r="75" spans="1:1">
      <c r="A75" s="65"/>
    </row>
    <row r="80" spans="1:1">
      <c r="A80" s="65"/>
    </row>
    <row r="85" spans="1:1">
      <c r="A85" s="65"/>
    </row>
    <row r="88" spans="1:1">
      <c r="A88" s="65"/>
    </row>
    <row r="104" spans="1:1">
      <c r="A104" s="65"/>
    </row>
    <row r="105" spans="1:1">
      <c r="A105" s="65"/>
    </row>
    <row r="112" spans="1:1">
      <c r="A112" s="65"/>
    </row>
    <row r="113" spans="1:1">
      <c r="A113" s="65"/>
    </row>
    <row r="118" spans="1:1">
      <c r="A118" s="66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80"/>
  <sheetViews>
    <sheetView topLeftCell="A40" zoomScale="115" zoomScaleNormal="115" zoomScalePageLayoutView="120" workbookViewId="0">
      <selection activeCell="C62" sqref="C62:H65"/>
    </sheetView>
  </sheetViews>
  <sheetFormatPr defaultColWidth="10" defaultRowHeight="14.25"/>
  <cols>
    <col min="1" max="1" width="12.125" customWidth="1"/>
    <col min="2" max="2" width="5.125" style="11" customWidth="1"/>
    <col min="3" max="3" width="14.625" customWidth="1"/>
    <col min="4" max="4" width="11.75" customWidth="1"/>
    <col min="5" max="5" width="15.125" customWidth="1"/>
    <col min="6" max="6" width="12.625" customWidth="1"/>
    <col min="7" max="7" width="13" customWidth="1"/>
    <col min="8" max="9" width="12.875" customWidth="1"/>
    <col min="10" max="10" width="15.125" customWidth="1"/>
    <col min="11" max="11" width="12.875" customWidth="1"/>
    <col min="12" max="12" width="11.5" style="7" customWidth="1"/>
    <col min="13" max="13" width="24.25" style="8" customWidth="1"/>
    <col min="14" max="14" width="10.625" style="8" bestFit="1" customWidth="1"/>
    <col min="15" max="15" width="10.625" customWidth="1"/>
  </cols>
  <sheetData>
    <row r="3" spans="1:15" s="1" customFormat="1" ht="107.45" customHeight="1">
      <c r="B3" s="9"/>
      <c r="C3" s="10" t="s">
        <v>0</v>
      </c>
      <c r="D3" s="10"/>
      <c r="E3" s="10"/>
      <c r="F3" s="29" t="s">
        <v>27</v>
      </c>
      <c r="G3" s="29"/>
      <c r="H3" s="56"/>
      <c r="I3" s="56"/>
      <c r="J3" s="29"/>
      <c r="K3" s="29" t="s">
        <v>1</v>
      </c>
      <c r="L3" s="30"/>
      <c r="M3" s="30"/>
      <c r="N3" s="30"/>
    </row>
    <row r="4" spans="1:15" s="2" customFormat="1" ht="17.100000000000001" customHeight="1">
      <c r="B4" s="11"/>
      <c r="C4" s="12" t="s">
        <v>31</v>
      </c>
      <c r="D4" s="12"/>
      <c r="E4" s="12"/>
      <c r="F4" s="31" t="s">
        <v>30</v>
      </c>
      <c r="G4" s="31" t="s">
        <v>33</v>
      </c>
      <c r="H4" s="31" t="s">
        <v>38</v>
      </c>
      <c r="I4" s="31"/>
      <c r="J4" s="31" t="s">
        <v>46</v>
      </c>
      <c r="K4" s="31" t="s">
        <v>2</v>
      </c>
      <c r="L4" s="32" t="s">
        <v>3</v>
      </c>
      <c r="M4" s="60" t="s">
        <v>24</v>
      </c>
      <c r="N4" s="32"/>
    </row>
    <row r="5" spans="1:15" ht="17.100000000000001" customHeight="1">
      <c r="C5" s="13" t="s">
        <v>32</v>
      </c>
      <c r="D5" s="14"/>
      <c r="E5" s="14"/>
      <c r="F5" s="33">
        <f>2030000-1059000</f>
        <v>971000</v>
      </c>
      <c r="G5" s="33">
        <v>100</v>
      </c>
      <c r="H5" s="33"/>
      <c r="I5" s="33">
        <v>6956194</v>
      </c>
      <c r="J5" s="33"/>
      <c r="K5" s="33"/>
    </row>
    <row r="6" spans="1:15" ht="17.100000000000001" customHeight="1">
      <c r="B6" s="15"/>
      <c r="C6" s="16" t="s">
        <v>4</v>
      </c>
      <c r="D6" s="17"/>
      <c r="E6" s="17"/>
      <c r="F6" s="34">
        <v>0</v>
      </c>
      <c r="G6" s="34">
        <v>0</v>
      </c>
      <c r="H6" s="34"/>
      <c r="I6" s="34"/>
      <c r="J6" s="34"/>
      <c r="K6" s="34"/>
    </row>
    <row r="7" spans="1:15">
      <c r="B7" s="64" t="s">
        <v>28</v>
      </c>
      <c r="C7" s="18">
        <v>46174</v>
      </c>
      <c r="D7" s="18"/>
      <c r="E7" s="18"/>
      <c r="F7" s="36">
        <v>10000</v>
      </c>
      <c r="G7" s="36">
        <v>0</v>
      </c>
      <c r="H7" s="36"/>
      <c r="I7" s="36">
        <v>6991241</v>
      </c>
      <c r="J7" s="36"/>
      <c r="K7" s="35" t="s">
        <v>34</v>
      </c>
      <c r="L7" s="7">
        <f t="shared" ref="L7:L36" si="0">SUM(F7:K7)</f>
        <v>7001241</v>
      </c>
    </row>
    <row r="8" spans="1:15">
      <c r="B8" s="64" t="s">
        <v>29</v>
      </c>
      <c r="C8" s="18">
        <v>46175</v>
      </c>
      <c r="D8" s="18"/>
      <c r="E8" s="18"/>
      <c r="F8" s="36">
        <v>9700000</v>
      </c>
      <c r="G8" s="36">
        <v>0</v>
      </c>
      <c r="H8" s="36"/>
      <c r="I8" s="36">
        <v>7010312</v>
      </c>
      <c r="J8" s="36"/>
      <c r="K8" s="35"/>
      <c r="L8" s="7">
        <f t="shared" si="0"/>
        <v>16710312</v>
      </c>
    </row>
    <row r="9" spans="1:15">
      <c r="B9" s="64" t="s">
        <v>8</v>
      </c>
      <c r="C9" s="18">
        <v>46176</v>
      </c>
      <c r="D9" s="18"/>
      <c r="E9" s="18"/>
      <c r="F9" s="36"/>
      <c r="G9" s="36">
        <v>11000000</v>
      </c>
      <c r="H9" s="36"/>
      <c r="I9" s="36">
        <v>7010379</v>
      </c>
      <c r="J9" s="36"/>
      <c r="K9" s="35" t="s">
        <v>37</v>
      </c>
      <c r="L9" s="7">
        <f t="shared" si="0"/>
        <v>18010379</v>
      </c>
    </row>
    <row r="10" spans="1:15">
      <c r="B10" s="64" t="s">
        <v>9</v>
      </c>
      <c r="C10" s="18">
        <v>46177</v>
      </c>
      <c r="D10" s="18"/>
      <c r="E10" s="18"/>
      <c r="F10" s="36">
        <v>55000</v>
      </c>
      <c r="G10" s="36">
        <v>11000000</v>
      </c>
      <c r="H10" s="36"/>
      <c r="I10" s="36">
        <v>7010379</v>
      </c>
      <c r="J10" s="36"/>
      <c r="K10" s="35"/>
      <c r="L10" s="7">
        <f t="shared" si="0"/>
        <v>18065379</v>
      </c>
      <c r="M10" s="8" t="s">
        <v>39</v>
      </c>
      <c r="O10" s="51"/>
    </row>
    <row r="11" spans="1:15">
      <c r="B11" s="64" t="s">
        <v>10</v>
      </c>
      <c r="C11" s="18">
        <v>46178</v>
      </c>
      <c r="D11" s="18"/>
      <c r="E11" s="18"/>
      <c r="F11" s="36">
        <v>240000</v>
      </c>
      <c r="G11" s="36"/>
      <c r="H11" s="36">
        <v>10200000</v>
      </c>
      <c r="I11" s="36">
        <v>17210363</v>
      </c>
      <c r="J11" s="36"/>
      <c r="K11" s="35"/>
      <c r="L11" s="7">
        <f t="shared" si="0"/>
        <v>27650363</v>
      </c>
    </row>
    <row r="12" spans="1:15">
      <c r="B12" s="64" t="s">
        <v>11</v>
      </c>
      <c r="C12" s="18">
        <v>46179</v>
      </c>
      <c r="D12" s="18"/>
      <c r="E12" s="18"/>
      <c r="F12" s="36">
        <v>240000</v>
      </c>
      <c r="G12" s="36"/>
      <c r="H12" s="36">
        <v>10200000</v>
      </c>
      <c r="I12" s="36">
        <v>17210363</v>
      </c>
      <c r="J12" s="36"/>
      <c r="K12" s="35"/>
      <c r="L12" s="7">
        <f t="shared" si="0"/>
        <v>27650363</v>
      </c>
      <c r="M12" s="59"/>
      <c r="O12" s="35"/>
    </row>
    <row r="13" spans="1:15">
      <c r="B13" s="64" t="s">
        <v>5</v>
      </c>
      <c r="C13" s="18">
        <v>46180</v>
      </c>
      <c r="D13" s="18"/>
      <c r="E13" s="18"/>
      <c r="F13" s="36">
        <v>240000</v>
      </c>
      <c r="G13" s="36"/>
      <c r="H13" s="36">
        <v>10200000</v>
      </c>
      <c r="I13" s="36">
        <v>17210363</v>
      </c>
      <c r="J13" s="36"/>
      <c r="K13" s="35"/>
      <c r="L13" s="7">
        <f t="shared" si="0"/>
        <v>27650363</v>
      </c>
      <c r="N13" s="62"/>
    </row>
    <row r="14" spans="1:15">
      <c r="B14" s="64" t="s">
        <v>6</v>
      </c>
      <c r="C14" s="18">
        <v>46181</v>
      </c>
      <c r="D14" s="18"/>
      <c r="E14" s="18"/>
      <c r="F14" s="36">
        <v>5440000</v>
      </c>
      <c r="G14" s="36"/>
      <c r="H14" s="36">
        <v>-850000</v>
      </c>
      <c r="I14" s="36">
        <v>6160529</v>
      </c>
      <c r="J14" s="36"/>
      <c r="K14" s="35"/>
      <c r="L14" s="7">
        <f t="shared" si="0"/>
        <v>10750529</v>
      </c>
    </row>
    <row r="15" spans="1:15">
      <c r="A15" s="57" t="s">
        <v>25</v>
      </c>
      <c r="B15" s="64" t="s">
        <v>7</v>
      </c>
      <c r="C15" s="18">
        <v>46182</v>
      </c>
      <c r="D15" s="18"/>
      <c r="E15" s="18"/>
      <c r="F15" s="36">
        <v>10440000</v>
      </c>
      <c r="G15" s="36"/>
      <c r="H15" s="36">
        <v>-850000</v>
      </c>
      <c r="I15" s="36">
        <v>6160529</v>
      </c>
      <c r="J15" s="36"/>
      <c r="K15" s="61"/>
      <c r="L15" s="7">
        <f t="shared" si="0"/>
        <v>15750529</v>
      </c>
    </row>
    <row r="16" spans="1:15">
      <c r="B16" s="64" t="s">
        <v>8</v>
      </c>
      <c r="C16" s="18">
        <v>46183</v>
      </c>
      <c r="D16" s="18"/>
      <c r="E16" s="18"/>
      <c r="F16" s="36">
        <v>9000000</v>
      </c>
      <c r="G16" s="36"/>
      <c r="H16" s="36">
        <f>1450000-850000</f>
        <v>600000</v>
      </c>
      <c r="I16" s="36">
        <v>8460433</v>
      </c>
      <c r="J16" s="36"/>
      <c r="K16" s="61"/>
      <c r="L16" s="7">
        <f t="shared" si="0"/>
        <v>18060433</v>
      </c>
    </row>
    <row r="17" spans="1:12">
      <c r="B17" s="64" t="s">
        <v>9</v>
      </c>
      <c r="C17" s="18">
        <v>46184</v>
      </c>
      <c r="D17" s="18"/>
      <c r="E17" s="18"/>
      <c r="F17" s="36">
        <v>0</v>
      </c>
      <c r="G17" s="36"/>
      <c r="H17" s="36"/>
      <c r="I17" s="36">
        <v>7008404</v>
      </c>
      <c r="J17" s="36"/>
      <c r="K17" s="35"/>
      <c r="L17" s="7">
        <f t="shared" si="0"/>
        <v>7008404</v>
      </c>
    </row>
    <row r="18" spans="1:12">
      <c r="B18" s="64" t="s">
        <v>10</v>
      </c>
      <c r="C18" s="18">
        <v>46185</v>
      </c>
      <c r="D18" s="18"/>
      <c r="E18" s="18"/>
      <c r="F18" s="36">
        <v>10470000</v>
      </c>
      <c r="G18" s="36"/>
      <c r="H18" s="36"/>
      <c r="I18" s="36">
        <v>7008230</v>
      </c>
      <c r="J18" s="36"/>
      <c r="K18" s="35"/>
      <c r="L18" s="7">
        <f t="shared" si="0"/>
        <v>17478230</v>
      </c>
    </row>
    <row r="19" spans="1:12">
      <c r="B19" s="64" t="s">
        <v>11</v>
      </c>
      <c r="C19" s="18">
        <v>46186</v>
      </c>
      <c r="D19" s="18"/>
      <c r="E19" s="18"/>
      <c r="F19" s="36">
        <v>10470000</v>
      </c>
      <c r="G19" s="36"/>
      <c r="H19" s="36"/>
      <c r="I19" s="36">
        <v>7019277</v>
      </c>
      <c r="J19" s="36"/>
      <c r="K19" s="35"/>
      <c r="L19" s="7">
        <f t="shared" si="0"/>
        <v>17489277</v>
      </c>
    </row>
    <row r="20" spans="1:12">
      <c r="A20" s="19"/>
      <c r="B20" s="64" t="s">
        <v>5</v>
      </c>
      <c r="C20" s="18">
        <v>46187</v>
      </c>
      <c r="D20" s="18"/>
      <c r="E20" s="18"/>
      <c r="F20" s="36">
        <v>10470000</v>
      </c>
      <c r="G20" s="36"/>
      <c r="H20" s="36"/>
      <c r="I20" s="36">
        <v>7019277</v>
      </c>
      <c r="J20" s="36"/>
      <c r="K20" s="35"/>
      <c r="L20" s="7">
        <f t="shared" si="0"/>
        <v>17489277</v>
      </c>
    </row>
    <row r="21" spans="1:12">
      <c r="A21" s="19"/>
      <c r="B21" s="64" t="s">
        <v>6</v>
      </c>
      <c r="C21" s="18">
        <v>46188</v>
      </c>
      <c r="D21" s="18"/>
      <c r="E21" s="18"/>
      <c r="F21" s="36">
        <v>6300000</v>
      </c>
      <c r="G21" s="36"/>
      <c r="H21" s="36"/>
      <c r="I21" s="36">
        <v>7019277</v>
      </c>
      <c r="J21" s="36"/>
      <c r="K21" s="35" t="s">
        <v>40</v>
      </c>
      <c r="L21" s="7">
        <f t="shared" si="0"/>
        <v>13319277</v>
      </c>
    </row>
    <row r="22" spans="1:12">
      <c r="A22" s="19"/>
      <c r="B22" s="64" t="s">
        <v>7</v>
      </c>
      <c r="C22" s="18">
        <v>46189</v>
      </c>
      <c r="D22" s="18"/>
      <c r="E22" s="18"/>
      <c r="F22" s="36">
        <v>4160000</v>
      </c>
      <c r="G22" s="36"/>
      <c r="H22" s="36"/>
      <c r="I22" s="36">
        <v>7019277</v>
      </c>
      <c r="J22" s="36"/>
      <c r="K22" s="35"/>
      <c r="L22" s="7">
        <f t="shared" si="0"/>
        <v>11179277</v>
      </c>
    </row>
    <row r="23" spans="1:12">
      <c r="A23" s="19"/>
      <c r="B23" s="64" t="s">
        <v>8</v>
      </c>
      <c r="C23" s="18">
        <v>46190</v>
      </c>
      <c r="D23" s="18"/>
      <c r="E23" s="18"/>
      <c r="F23" s="36">
        <v>0</v>
      </c>
      <c r="G23" s="36">
        <v>100000</v>
      </c>
      <c r="H23" s="36"/>
      <c r="I23" s="36">
        <v>7019277</v>
      </c>
      <c r="J23" s="36"/>
      <c r="K23" s="35" t="s">
        <v>41</v>
      </c>
      <c r="L23" s="7">
        <f t="shared" si="0"/>
        <v>7119277</v>
      </c>
    </row>
    <row r="24" spans="1:12">
      <c r="A24" s="19"/>
      <c r="B24" s="64" t="s">
        <v>9</v>
      </c>
      <c r="C24" s="18">
        <v>46191</v>
      </c>
      <c r="D24" s="18"/>
      <c r="E24" s="18"/>
      <c r="F24" s="36">
        <v>10470000</v>
      </c>
      <c r="G24" s="36">
        <v>100000</v>
      </c>
      <c r="H24" s="36"/>
      <c r="I24" s="36">
        <v>7019277</v>
      </c>
      <c r="J24" s="36"/>
      <c r="K24" s="35"/>
      <c r="L24" s="7">
        <f t="shared" si="0"/>
        <v>17589277</v>
      </c>
    </row>
    <row r="25" spans="1:12">
      <c r="A25" s="19"/>
      <c r="B25" s="64" t="s">
        <v>10</v>
      </c>
      <c r="C25" s="18">
        <v>46192</v>
      </c>
      <c r="D25" s="18"/>
      <c r="E25" s="18"/>
      <c r="F25" s="36">
        <v>10470000</v>
      </c>
      <c r="G25" s="36">
        <v>100000</v>
      </c>
      <c r="H25" s="36"/>
      <c r="I25" s="36">
        <v>7019277</v>
      </c>
      <c r="J25" s="36"/>
      <c r="K25" s="35"/>
      <c r="L25" s="7">
        <f t="shared" si="0"/>
        <v>17589277</v>
      </c>
    </row>
    <row r="26" spans="1:12">
      <c r="A26" s="19"/>
      <c r="B26" s="64" t="s">
        <v>11</v>
      </c>
      <c r="C26" s="18">
        <v>46193</v>
      </c>
      <c r="D26" s="18"/>
      <c r="E26" s="18"/>
      <c r="F26" s="36">
        <v>10470000</v>
      </c>
      <c r="G26" s="36">
        <v>100000</v>
      </c>
      <c r="H26" s="36"/>
      <c r="I26" s="36">
        <v>7019277</v>
      </c>
      <c r="J26" s="36"/>
      <c r="K26" s="35"/>
      <c r="L26" s="7">
        <f t="shared" si="0"/>
        <v>17589277</v>
      </c>
    </row>
    <row r="27" spans="1:12">
      <c r="A27" s="19"/>
      <c r="B27" s="64" t="s">
        <v>5</v>
      </c>
      <c r="C27" s="18">
        <v>46194</v>
      </c>
      <c r="D27" s="18"/>
      <c r="E27" s="18"/>
      <c r="F27" s="36">
        <v>10470000</v>
      </c>
      <c r="G27" s="36">
        <v>100000</v>
      </c>
      <c r="H27" s="36"/>
      <c r="I27" s="36">
        <v>7019277</v>
      </c>
      <c r="J27" s="36"/>
      <c r="K27" s="35"/>
      <c r="L27" s="7">
        <f t="shared" si="0"/>
        <v>17589277</v>
      </c>
    </row>
    <row r="28" spans="1:12">
      <c r="A28" s="19"/>
      <c r="B28" s="64" t="s">
        <v>6</v>
      </c>
      <c r="C28" s="18">
        <v>46195</v>
      </c>
      <c r="D28" s="18"/>
      <c r="E28" s="18"/>
      <c r="F28" s="36">
        <v>0</v>
      </c>
      <c r="G28" s="36"/>
      <c r="H28" s="36"/>
      <c r="I28" s="36">
        <v>7019277</v>
      </c>
      <c r="J28" s="36"/>
      <c r="K28" s="35" t="s">
        <v>43</v>
      </c>
      <c r="L28" s="7">
        <f t="shared" si="0"/>
        <v>7019277</v>
      </c>
    </row>
    <row r="29" spans="1:12">
      <c r="A29" s="19"/>
      <c r="B29" s="64" t="s">
        <v>7</v>
      </c>
      <c r="C29" s="18">
        <v>46196</v>
      </c>
      <c r="D29" s="18"/>
      <c r="E29" s="18"/>
      <c r="F29" s="36">
        <v>5850000</v>
      </c>
      <c r="G29" s="36"/>
      <c r="H29" s="36"/>
      <c r="I29" s="36">
        <v>7019277</v>
      </c>
      <c r="J29" s="36">
        <v>5850000</v>
      </c>
      <c r="K29" s="35" t="s">
        <v>44</v>
      </c>
      <c r="L29" s="7">
        <f t="shared" si="0"/>
        <v>18719277</v>
      </c>
    </row>
    <row r="30" spans="1:12">
      <c r="A30" s="19"/>
      <c r="B30" s="64" t="s">
        <v>8</v>
      </c>
      <c r="C30" s="18">
        <v>46197</v>
      </c>
      <c r="D30" s="18"/>
      <c r="E30" s="18"/>
      <c r="F30" s="36">
        <v>0</v>
      </c>
      <c r="G30" s="36"/>
      <c r="H30" s="36"/>
      <c r="I30" s="36">
        <v>7019277</v>
      </c>
      <c r="J30" s="36"/>
      <c r="K30" s="35" t="s">
        <v>45</v>
      </c>
      <c r="L30" s="7">
        <f t="shared" si="0"/>
        <v>7019277</v>
      </c>
    </row>
    <row r="31" spans="1:12">
      <c r="B31" s="64" t="s">
        <v>9</v>
      </c>
      <c r="C31" s="18">
        <v>46198</v>
      </c>
      <c r="D31" s="18"/>
      <c r="E31" s="18"/>
      <c r="F31" s="36">
        <v>13200000</v>
      </c>
      <c r="G31" s="36"/>
      <c r="H31" s="36"/>
      <c r="I31" s="36">
        <v>7019277</v>
      </c>
      <c r="J31" s="36"/>
      <c r="K31" s="35"/>
      <c r="L31" s="7">
        <f t="shared" si="0"/>
        <v>20219277</v>
      </c>
    </row>
    <row r="32" spans="1:12">
      <c r="B32" s="64" t="s">
        <v>10</v>
      </c>
      <c r="C32" s="18">
        <v>46199</v>
      </c>
      <c r="D32" s="18"/>
      <c r="E32" s="18"/>
      <c r="F32" s="36">
        <v>4000000</v>
      </c>
      <c r="G32" s="36">
        <v>6590000</v>
      </c>
      <c r="H32" s="36"/>
      <c r="I32" s="36">
        <v>7019277</v>
      </c>
      <c r="J32" s="36"/>
      <c r="K32" s="35"/>
      <c r="L32" s="7">
        <f t="shared" si="0"/>
        <v>17609277</v>
      </c>
    </row>
    <row r="33" spans="1:14">
      <c r="B33" s="64" t="s">
        <v>11</v>
      </c>
      <c r="C33" s="18">
        <v>46200</v>
      </c>
      <c r="D33" s="18"/>
      <c r="E33" s="18"/>
      <c r="F33" s="36"/>
      <c r="G33" s="36"/>
      <c r="H33" s="36">
        <v>590000</v>
      </c>
      <c r="I33" s="36">
        <f>7019277+590000</f>
        <v>7609277</v>
      </c>
      <c r="J33" s="36">
        <v>10000000</v>
      </c>
      <c r="K33" s="35"/>
      <c r="L33" s="7">
        <f t="shared" si="0"/>
        <v>18199277</v>
      </c>
    </row>
    <row r="34" spans="1:14">
      <c r="B34" s="64" t="s">
        <v>5</v>
      </c>
      <c r="C34" s="18">
        <v>46201</v>
      </c>
      <c r="D34" s="18"/>
      <c r="E34" s="18"/>
      <c r="F34" s="36"/>
      <c r="G34" s="36">
        <v>1360000</v>
      </c>
      <c r="H34" s="36"/>
      <c r="I34" s="36">
        <v>7019277</v>
      </c>
      <c r="J34" s="36">
        <v>10000000</v>
      </c>
      <c r="K34" s="35"/>
      <c r="L34" s="7">
        <f t="shared" si="0"/>
        <v>18379277</v>
      </c>
    </row>
    <row r="35" spans="1:14">
      <c r="B35" s="64" t="s">
        <v>6</v>
      </c>
      <c r="C35" s="18">
        <v>46202</v>
      </c>
      <c r="D35" s="18"/>
      <c r="E35" s="18"/>
      <c r="F35" s="36">
        <v>0</v>
      </c>
      <c r="G35" s="36"/>
      <c r="H35" s="36"/>
      <c r="I35" s="36">
        <v>7019277</v>
      </c>
      <c r="J35" s="36"/>
      <c r="K35" s="35" t="s">
        <v>42</v>
      </c>
      <c r="L35" s="7">
        <f t="shared" si="0"/>
        <v>7019277</v>
      </c>
    </row>
    <row r="36" spans="1:14">
      <c r="B36" s="64" t="s">
        <v>7</v>
      </c>
      <c r="C36" s="18">
        <v>46203</v>
      </c>
      <c r="D36" s="18"/>
      <c r="E36" s="18"/>
      <c r="F36" s="36">
        <v>7770000</v>
      </c>
      <c r="G36" s="36"/>
      <c r="H36" s="36"/>
      <c r="I36" s="36">
        <v>7019277</v>
      </c>
      <c r="J36" s="36"/>
      <c r="K36" s="35"/>
      <c r="L36" s="7">
        <f t="shared" si="0"/>
        <v>14789277</v>
      </c>
    </row>
    <row r="37" spans="1:14" ht="17.100000000000001" customHeight="1">
      <c r="B37" s="15"/>
      <c r="C37" s="20" t="s">
        <v>12</v>
      </c>
      <c r="D37" s="20"/>
      <c r="E37" s="20"/>
      <c r="F37" s="37">
        <f t="shared" ref="F37:J37" si="1">SUM(F7:F36)</f>
        <v>149935000</v>
      </c>
      <c r="G37" s="37">
        <f t="shared" si="1"/>
        <v>30450000</v>
      </c>
      <c r="H37" s="37">
        <f t="shared" si="1"/>
        <v>30090000</v>
      </c>
      <c r="I37" s="37">
        <f t="shared" ref="I37" si="2">SUM(I7:I36)</f>
        <v>241388511</v>
      </c>
      <c r="J37" s="37">
        <f t="shared" si="1"/>
        <v>25850000</v>
      </c>
      <c r="K37" s="38"/>
    </row>
    <row r="38" spans="1:14" ht="17.100000000000001" customHeight="1">
      <c r="B38" s="15"/>
      <c r="C38" s="21" t="s">
        <v>13</v>
      </c>
      <c r="D38" s="21"/>
      <c r="E38" s="21"/>
      <c r="F38" s="39">
        <f t="shared" ref="F38:J38" si="3">F37/30</f>
        <v>4997833.333333333</v>
      </c>
      <c r="G38" s="39">
        <f t="shared" si="3"/>
        <v>1015000</v>
      </c>
      <c r="H38" s="39">
        <f t="shared" si="3"/>
        <v>1003000</v>
      </c>
      <c r="I38" s="39">
        <f t="shared" ref="I38" si="4">I37/30</f>
        <v>8046283.7000000002</v>
      </c>
      <c r="J38" s="39">
        <f t="shared" si="3"/>
        <v>861666.66666666663</v>
      </c>
      <c r="K38" s="40"/>
    </row>
    <row r="39" spans="1:14" s="3" customFormat="1" ht="17.100000000000001" customHeight="1">
      <c r="B39" s="15"/>
      <c r="C39" s="22" t="s">
        <v>14</v>
      </c>
      <c r="D39" s="22"/>
      <c r="E39" s="22"/>
      <c r="F39" s="42">
        <f t="shared" ref="F39:J39" si="5">F38-F5</f>
        <v>4026833.333333333</v>
      </c>
      <c r="G39" s="42">
        <f t="shared" si="5"/>
        <v>1014900</v>
      </c>
      <c r="H39" s="42">
        <f t="shared" si="5"/>
        <v>1003000</v>
      </c>
      <c r="I39" s="42">
        <f t="shared" ref="I39" si="6">I38-I5</f>
        <v>1090089.7000000002</v>
      </c>
      <c r="J39" s="42">
        <f t="shared" si="5"/>
        <v>861666.66666666663</v>
      </c>
      <c r="K39" s="41"/>
      <c r="L39" s="43"/>
      <c r="M39" s="52">
        <f>SUM(G7:G31)/22+90000</f>
        <v>1112727.2727272727</v>
      </c>
      <c r="N39" s="52"/>
    </row>
    <row r="40" spans="1:14" s="4" customFormat="1" ht="17.100000000000001" customHeight="1">
      <c r="B40" s="11"/>
      <c r="C40" s="23" t="s">
        <v>15</v>
      </c>
      <c r="D40" s="23"/>
      <c r="E40" s="23"/>
      <c r="F40" s="44"/>
      <c r="G40" s="44"/>
      <c r="H40" s="44"/>
      <c r="I40" s="44"/>
      <c r="J40" s="44"/>
      <c r="K40" s="58" t="s">
        <v>23</v>
      </c>
      <c r="L40" s="7"/>
      <c r="M40" s="53"/>
      <c r="N40" s="53"/>
    </row>
    <row r="41" spans="1:14" s="5" customFormat="1" ht="17.100000000000001" customHeight="1">
      <c r="B41" s="11"/>
      <c r="C41" s="10" t="s">
        <v>16</v>
      </c>
      <c r="D41" s="10"/>
      <c r="E41" s="10"/>
      <c r="F41" s="45"/>
      <c r="G41" s="45"/>
      <c r="H41" s="45"/>
      <c r="I41" s="45"/>
      <c r="J41" s="45"/>
      <c r="K41" s="45">
        <f>(20359+10108)+7258+6472+3320+6800</f>
        <v>54317</v>
      </c>
      <c r="L41" s="46"/>
      <c r="M41" s="54"/>
      <c r="N41" s="54"/>
    </row>
    <row r="42" spans="1:14" ht="24.95" customHeight="1">
      <c r="F42" s="47"/>
      <c r="G42" s="47"/>
      <c r="H42" s="47"/>
      <c r="I42" s="47"/>
      <c r="J42" s="47"/>
      <c r="K42" s="2"/>
      <c r="N42" s="8">
        <f>73+70+95-14.8*3</f>
        <v>193.6</v>
      </c>
    </row>
    <row r="43" spans="1:14" ht="17.100000000000001" customHeight="1">
      <c r="A43" s="24"/>
      <c r="B43" s="25"/>
      <c r="C43" s="8" t="s">
        <v>17</v>
      </c>
      <c r="D43" s="26">
        <v>5000</v>
      </c>
      <c r="E43" s="48" t="s">
        <v>18</v>
      </c>
      <c r="F43" s="49">
        <v>200</v>
      </c>
      <c r="G43" s="49">
        <v>0</v>
      </c>
      <c r="H43" s="49">
        <v>0</v>
      </c>
      <c r="I43" s="49"/>
      <c r="J43" s="49">
        <v>0</v>
      </c>
      <c r="K43" s="49"/>
      <c r="M43" s="49"/>
    </row>
    <row r="44" spans="1:14" ht="17.100000000000001" customHeight="1">
      <c r="C44" s="27" t="s">
        <v>19</v>
      </c>
      <c r="D44" s="28">
        <f>D43/1000/31*365/100</f>
        <v>0.58870967741935476</v>
      </c>
      <c r="E44" s="48" t="s">
        <v>20</v>
      </c>
      <c r="F44" s="49">
        <f>252+188+260</f>
        <v>700</v>
      </c>
      <c r="G44" s="49">
        <v>0</v>
      </c>
      <c r="H44" s="49">
        <v>0</v>
      </c>
      <c r="I44" s="49"/>
      <c r="J44" s="49">
        <v>0</v>
      </c>
      <c r="K44" s="49"/>
    </row>
    <row r="45" spans="1:14" ht="17.100000000000001" customHeight="1">
      <c r="C45" s="27"/>
      <c r="D45" s="28"/>
      <c r="E45" s="50" t="s">
        <v>21</v>
      </c>
      <c r="F45" s="49">
        <f>K41</f>
        <v>54317</v>
      </c>
      <c r="G45" s="49">
        <v>0</v>
      </c>
      <c r="H45" s="49">
        <f>M41</f>
        <v>0</v>
      </c>
      <c r="I45" s="49"/>
      <c r="J45" s="49">
        <v>0</v>
      </c>
    </row>
    <row r="46" spans="1:14" ht="17.100000000000001" customHeight="1">
      <c r="E46" s="50" t="s">
        <v>22</v>
      </c>
      <c r="F46" s="49">
        <v>0</v>
      </c>
      <c r="G46" s="49">
        <v>0</v>
      </c>
      <c r="H46" s="49">
        <v>0</v>
      </c>
      <c r="I46" s="49"/>
      <c r="J46" s="49">
        <v>0</v>
      </c>
    </row>
    <row r="47" spans="1:14">
      <c r="E47" s="50" t="s">
        <v>26</v>
      </c>
      <c r="F47" s="47">
        <v>0</v>
      </c>
      <c r="G47" s="47"/>
      <c r="H47" s="47"/>
      <c r="I47" s="47"/>
      <c r="J47" s="47"/>
    </row>
    <row r="48" spans="1:14">
      <c r="C48" s="57" t="s">
        <v>35</v>
      </c>
      <c r="D48" s="63">
        <f>(D43+F43++F44+F45+F46+F47)</f>
        <v>60217</v>
      </c>
      <c r="E48" s="63"/>
      <c r="F48" s="47"/>
      <c r="G48" s="47"/>
      <c r="H48" s="47"/>
      <c r="I48" s="47"/>
      <c r="J48" s="47"/>
    </row>
    <row r="49" spans="3:14">
      <c r="C49" s="27" t="s">
        <v>36</v>
      </c>
      <c r="D49" s="28">
        <f>(D43+F43++F44+F45+F46+F47)/1040/31*365/100</f>
        <v>6.8173712779156324</v>
      </c>
      <c r="E49" s="28"/>
      <c r="F49" s="47"/>
      <c r="G49" s="47"/>
      <c r="H49" s="47"/>
      <c r="I49" s="47"/>
      <c r="J49" s="47"/>
    </row>
    <row r="50" spans="3:14">
      <c r="F50" s="47"/>
      <c r="G50" s="47"/>
      <c r="H50" s="47"/>
      <c r="I50" s="47"/>
      <c r="J50" s="47"/>
    </row>
    <row r="51" spans="3:14">
      <c r="F51" s="47"/>
      <c r="G51" s="47"/>
      <c r="H51" s="47"/>
      <c r="I51" s="47"/>
      <c r="J51" s="47"/>
    </row>
    <row r="52" spans="3:14">
      <c r="F52" s="47"/>
      <c r="G52" s="47"/>
      <c r="H52" s="47"/>
      <c r="I52" s="47"/>
      <c r="J52" s="47"/>
    </row>
    <row r="53" spans="3:14">
      <c r="F53" s="47"/>
      <c r="G53" s="47"/>
      <c r="H53" s="47"/>
      <c r="I53" s="47"/>
      <c r="J53" s="47"/>
    </row>
    <row r="54" spans="3:14">
      <c r="F54" s="47"/>
      <c r="G54" s="47"/>
      <c r="H54" s="47"/>
      <c r="I54" s="47"/>
      <c r="J54" s="47"/>
    </row>
    <row r="55" spans="3:14">
      <c r="F55" s="47"/>
      <c r="G55" s="47"/>
      <c r="H55" s="47"/>
      <c r="I55" s="47"/>
      <c r="J55" s="47"/>
    </row>
    <row r="56" spans="3:14">
      <c r="F56" s="47"/>
      <c r="G56" s="47"/>
      <c r="H56" s="47"/>
      <c r="I56" s="47"/>
      <c r="J56" s="47"/>
    </row>
    <row r="57" spans="3:14">
      <c r="F57" s="47"/>
      <c r="G57" s="47"/>
      <c r="H57" s="47"/>
      <c r="I57" s="47"/>
      <c r="J57" s="47"/>
    </row>
    <row r="58" spans="3:14">
      <c r="F58" s="47"/>
      <c r="G58" s="47"/>
      <c r="H58" s="47"/>
      <c r="I58" s="47"/>
      <c r="J58" s="47"/>
    </row>
    <row r="59" spans="3:14">
      <c r="F59" s="47"/>
      <c r="G59" s="47"/>
      <c r="H59" s="47"/>
      <c r="I59" s="47"/>
      <c r="J59" s="47"/>
    </row>
    <row r="60" spans="3:14">
      <c r="F60" s="47"/>
      <c r="G60" s="47"/>
      <c r="H60" s="47"/>
      <c r="I60" s="47"/>
      <c r="J60" s="47"/>
    </row>
    <row r="61" spans="3:14">
      <c r="D61" s="47"/>
      <c r="E61" s="47"/>
      <c r="F61" s="47"/>
      <c r="G61" s="47"/>
      <c r="H61" s="47"/>
      <c r="J61" s="7"/>
      <c r="K61" s="8"/>
      <c r="L61" s="8"/>
      <c r="M61"/>
      <c r="N61"/>
    </row>
    <row r="62" spans="3:14" ht="15.75">
      <c r="C62" s="12" t="s">
        <v>47</v>
      </c>
      <c r="D62" s="31" t="s">
        <v>30</v>
      </c>
      <c r="E62" s="31" t="s">
        <v>33</v>
      </c>
      <c r="F62" s="31" t="s">
        <v>38</v>
      </c>
      <c r="G62" s="31" t="s">
        <v>46</v>
      </c>
      <c r="H62" s="31" t="s">
        <v>2</v>
      </c>
      <c r="I62" s="7"/>
      <c r="J62" s="8"/>
      <c r="K62" s="8"/>
      <c r="L62"/>
      <c r="M62"/>
      <c r="N62"/>
    </row>
    <row r="63" spans="3:14">
      <c r="C63" s="18">
        <v>46145</v>
      </c>
      <c r="D63" s="36"/>
      <c r="E63" s="36">
        <v>15000000</v>
      </c>
      <c r="F63" s="36"/>
      <c r="G63" s="36"/>
      <c r="H63" s="35" t="s">
        <v>37</v>
      </c>
      <c r="I63" s="7"/>
      <c r="J63" s="8"/>
      <c r="K63" s="8"/>
      <c r="L63"/>
      <c r="M63"/>
      <c r="N63"/>
    </row>
    <row r="64" spans="3:14">
      <c r="C64" s="18">
        <v>46146</v>
      </c>
      <c r="D64" s="36">
        <v>55000</v>
      </c>
      <c r="E64" s="36">
        <v>15000000</v>
      </c>
      <c r="F64" s="36"/>
      <c r="G64" s="36"/>
      <c r="H64" s="35"/>
      <c r="I64" s="7"/>
      <c r="J64" s="8"/>
      <c r="K64" s="8"/>
      <c r="L64"/>
      <c r="M64"/>
      <c r="N64"/>
    </row>
    <row r="65" spans="3:14">
      <c r="C65" s="18">
        <v>46147</v>
      </c>
      <c r="D65" s="36">
        <v>240000</v>
      </c>
      <c r="E65" s="36"/>
      <c r="F65" s="36">
        <v>10200000</v>
      </c>
      <c r="G65" s="36"/>
      <c r="H65" s="35"/>
      <c r="I65" s="7"/>
      <c r="J65" s="8"/>
      <c r="K65" s="8"/>
      <c r="L65"/>
      <c r="M65"/>
      <c r="N65"/>
    </row>
    <row r="66" spans="3:14">
      <c r="D66" s="47"/>
      <c r="E66" s="47"/>
      <c r="F66" s="47"/>
      <c r="G66" s="47"/>
      <c r="H66" s="47"/>
      <c r="J66" s="7"/>
      <c r="K66" s="8"/>
      <c r="L66" s="8"/>
      <c r="M66"/>
      <c r="N66"/>
    </row>
    <row r="67" spans="3:14">
      <c r="D67" s="47"/>
      <c r="E67" s="47"/>
      <c r="F67" s="47"/>
      <c r="G67" s="47"/>
      <c r="H67" s="47"/>
      <c r="J67" s="7"/>
      <c r="K67" s="8"/>
      <c r="L67" s="8"/>
      <c r="M67"/>
      <c r="N67"/>
    </row>
    <row r="68" spans="3:14">
      <c r="F68" s="47"/>
      <c r="G68" s="47"/>
      <c r="H68" s="47"/>
      <c r="I68" s="47"/>
      <c r="J68" s="47"/>
    </row>
    <row r="69" spans="3:14">
      <c r="F69" s="47"/>
      <c r="G69" s="47"/>
      <c r="H69" s="47"/>
      <c r="I69" s="47"/>
      <c r="J69" s="47"/>
    </row>
    <row r="70" spans="3:14">
      <c r="F70" s="47"/>
      <c r="G70" s="47"/>
      <c r="H70" s="47"/>
      <c r="I70" s="47"/>
      <c r="J70" s="47"/>
    </row>
    <row r="71" spans="3:14">
      <c r="F71" s="47"/>
      <c r="G71" s="47"/>
      <c r="H71" s="47"/>
      <c r="I71" s="47"/>
      <c r="J71" s="47"/>
    </row>
    <row r="72" spans="3:14">
      <c r="F72" s="47"/>
      <c r="G72" s="47"/>
      <c r="H72" s="47"/>
      <c r="I72" s="47"/>
      <c r="J72" s="47"/>
    </row>
    <row r="73" spans="3:14">
      <c r="F73" s="47"/>
      <c r="G73" s="47"/>
      <c r="H73" s="47"/>
      <c r="I73" s="47"/>
      <c r="J73" s="47"/>
    </row>
    <row r="74" spans="3:14">
      <c r="F74" s="47"/>
      <c r="G74" s="47"/>
      <c r="H74" s="47"/>
      <c r="I74" s="47"/>
      <c r="J74" s="47"/>
    </row>
    <row r="75" spans="3:14">
      <c r="F75" s="47"/>
      <c r="G75" s="47"/>
      <c r="H75" s="47"/>
      <c r="I75" s="47"/>
      <c r="J75" s="47"/>
    </row>
    <row r="76" spans="3:14">
      <c r="F76" s="47"/>
      <c r="G76" s="47"/>
      <c r="H76" s="47"/>
      <c r="I76" s="47"/>
      <c r="J76" s="47"/>
    </row>
    <row r="77" spans="3:14">
      <c r="F77" s="47"/>
      <c r="G77" s="47"/>
      <c r="H77" s="47"/>
      <c r="I77" s="47"/>
      <c r="J77" s="47"/>
    </row>
    <row r="78" spans="3:14">
      <c r="F78" s="47"/>
      <c r="G78" s="47"/>
      <c r="H78" s="47"/>
      <c r="I78" s="47"/>
      <c r="J78" s="47"/>
    </row>
    <row r="79" spans="3:14">
      <c r="F79" s="47"/>
      <c r="G79" s="47"/>
      <c r="H79" s="47"/>
      <c r="I79" s="47"/>
      <c r="J79" s="47"/>
    </row>
    <row r="80" spans="3:14">
      <c r="F80" s="47"/>
      <c r="G80" s="47"/>
      <c r="H80" s="47"/>
      <c r="I80" s="47"/>
      <c r="J80" s="47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2"/>
  <sheetViews>
    <sheetView topLeftCell="A7" zoomScale="55" zoomScaleNormal="55" zoomScalePageLayoutView="120" workbookViewId="0">
      <selection activeCell="I16" sqref="I16"/>
    </sheetView>
  </sheetViews>
  <sheetFormatPr defaultColWidth="10" defaultRowHeight="14.25"/>
  <cols>
    <col min="1" max="1" width="12.125" customWidth="1"/>
    <col min="2" max="2" width="5.125" style="6" customWidth="1"/>
    <col min="3" max="3" width="14.625" customWidth="1"/>
    <col min="4" max="4" width="11.75" customWidth="1"/>
    <col min="5" max="5" width="15.125" customWidth="1"/>
    <col min="6" max="6" width="12.625" customWidth="1"/>
    <col min="7" max="7" width="13" customWidth="1"/>
    <col min="8" max="8" width="12.875" customWidth="1"/>
    <col min="9" max="9" width="15.125" customWidth="1"/>
    <col min="10" max="10" width="12.875" customWidth="1"/>
    <col min="11" max="11" width="11.5" style="7" customWidth="1"/>
    <col min="12" max="12" width="24.25" style="8" customWidth="1"/>
    <col min="13" max="13" width="10.625" style="8" bestFit="1" customWidth="1"/>
    <col min="14" max="14" width="10.625" customWidth="1"/>
  </cols>
  <sheetData>
    <row r="3" spans="1:14" s="1" customFormat="1" ht="107.45" customHeight="1">
      <c r="B3" s="9"/>
      <c r="C3" s="10" t="s">
        <v>0</v>
      </c>
      <c r="D3" s="10"/>
      <c r="E3" s="10"/>
      <c r="F3" s="29" t="s">
        <v>27</v>
      </c>
      <c r="G3" s="29"/>
      <c r="H3" s="56"/>
      <c r="I3" s="29"/>
      <c r="J3" s="29" t="s">
        <v>1</v>
      </c>
      <c r="K3" s="30"/>
      <c r="L3" s="30"/>
      <c r="M3" s="30"/>
    </row>
    <row r="4" spans="1:14" s="2" customFormat="1" ht="17.100000000000001" customHeight="1">
      <c r="B4" s="11"/>
      <c r="C4" s="12" t="s">
        <v>31</v>
      </c>
      <c r="D4" s="12"/>
      <c r="E4" s="12"/>
      <c r="F4" s="31" t="s">
        <v>30</v>
      </c>
      <c r="G4" s="31" t="s">
        <v>33</v>
      </c>
      <c r="H4" s="31"/>
      <c r="I4" s="55"/>
      <c r="J4" s="31" t="s">
        <v>2</v>
      </c>
      <c r="K4" s="32" t="s">
        <v>3</v>
      </c>
      <c r="L4" s="60" t="s">
        <v>24</v>
      </c>
      <c r="M4" s="32"/>
    </row>
    <row r="5" spans="1:14" ht="17.100000000000001" customHeight="1">
      <c r="C5" s="13" t="s">
        <v>32</v>
      </c>
      <c r="D5" s="14"/>
      <c r="E5" s="14"/>
      <c r="F5" s="33">
        <v>100</v>
      </c>
      <c r="G5" s="33">
        <v>100</v>
      </c>
      <c r="H5" s="33"/>
      <c r="I5" s="33"/>
      <c r="J5" s="33"/>
    </row>
    <row r="6" spans="1:14" ht="17.100000000000001" customHeight="1">
      <c r="B6" s="15"/>
      <c r="C6" s="16" t="s">
        <v>4</v>
      </c>
      <c r="D6" s="17"/>
      <c r="E6" s="17"/>
      <c r="F6" s="34">
        <v>0</v>
      </c>
      <c r="G6" s="34">
        <v>0</v>
      </c>
      <c r="H6" s="34"/>
      <c r="I6" s="34"/>
      <c r="J6" s="34"/>
    </row>
    <row r="7" spans="1:14">
      <c r="B7" s="64" t="s">
        <v>28</v>
      </c>
      <c r="C7" s="18">
        <v>46174</v>
      </c>
      <c r="D7" s="18"/>
      <c r="E7" s="18"/>
      <c r="F7" s="36">
        <v>0</v>
      </c>
      <c r="G7" s="36">
        <v>0</v>
      </c>
      <c r="H7" s="36"/>
      <c r="I7" s="36"/>
      <c r="J7" s="35" t="s">
        <v>34</v>
      </c>
      <c r="K7" s="7">
        <f t="shared" ref="K7:K36" si="0">SUM(F7:J7)</f>
        <v>0</v>
      </c>
    </row>
    <row r="8" spans="1:14">
      <c r="B8" s="64" t="s">
        <v>29</v>
      </c>
      <c r="C8" s="18">
        <v>46175</v>
      </c>
      <c r="D8" s="18"/>
      <c r="E8" s="18"/>
      <c r="F8" s="36">
        <v>0</v>
      </c>
      <c r="G8" s="36">
        <v>0</v>
      </c>
      <c r="H8" s="36"/>
      <c r="I8" s="36"/>
      <c r="J8" s="35"/>
      <c r="K8" s="7">
        <f t="shared" si="0"/>
        <v>0</v>
      </c>
    </row>
    <row r="9" spans="1:14">
      <c r="B9" s="64" t="s">
        <v>8</v>
      </c>
      <c r="C9" s="18">
        <v>46176</v>
      </c>
      <c r="D9" s="18"/>
      <c r="E9" s="18"/>
      <c r="F9" s="36">
        <v>0</v>
      </c>
      <c r="G9" s="36">
        <v>10800000</v>
      </c>
      <c r="H9" s="36"/>
      <c r="I9" s="36"/>
      <c r="J9" s="35" t="s">
        <v>37</v>
      </c>
      <c r="K9" s="7">
        <f t="shared" si="0"/>
        <v>10800000</v>
      </c>
    </row>
    <row r="10" spans="1:14">
      <c r="B10" s="64" t="s">
        <v>9</v>
      </c>
      <c r="C10" s="18">
        <v>46177</v>
      </c>
      <c r="D10" s="18"/>
      <c r="E10" s="18"/>
      <c r="F10" s="36">
        <v>0</v>
      </c>
      <c r="G10" s="36">
        <v>10800000</v>
      </c>
      <c r="H10" s="36"/>
      <c r="I10" s="36"/>
      <c r="J10" s="35"/>
      <c r="K10" s="7">
        <f t="shared" si="0"/>
        <v>10800000</v>
      </c>
      <c r="L10" s="59"/>
      <c r="N10" s="51"/>
    </row>
    <row r="11" spans="1:14">
      <c r="B11" s="64" t="s">
        <v>10</v>
      </c>
      <c r="C11" s="18">
        <v>46178</v>
      </c>
      <c r="D11" s="18"/>
      <c r="E11" s="18"/>
      <c r="F11" s="36">
        <v>10350000</v>
      </c>
      <c r="G11" s="36">
        <v>0</v>
      </c>
      <c r="H11" s="36"/>
      <c r="I11" s="36"/>
      <c r="J11" s="35"/>
      <c r="K11" s="7">
        <f t="shared" si="0"/>
        <v>10350000</v>
      </c>
    </row>
    <row r="12" spans="1:14">
      <c r="B12" s="64" t="s">
        <v>11</v>
      </c>
      <c r="C12" s="18">
        <v>46179</v>
      </c>
      <c r="D12" s="18"/>
      <c r="E12" s="18"/>
      <c r="F12" s="36">
        <v>10350000</v>
      </c>
      <c r="G12" s="36">
        <v>0</v>
      </c>
      <c r="H12" s="36"/>
      <c r="I12" s="36"/>
      <c r="J12" s="35"/>
      <c r="K12" s="7">
        <f t="shared" si="0"/>
        <v>10350000</v>
      </c>
      <c r="L12" s="59"/>
      <c r="N12" s="35"/>
    </row>
    <row r="13" spans="1:14">
      <c r="B13" s="64" t="s">
        <v>5</v>
      </c>
      <c r="C13" s="18">
        <v>46180</v>
      </c>
      <c r="D13" s="18"/>
      <c r="E13" s="18"/>
      <c r="F13" s="36">
        <v>10350000</v>
      </c>
      <c r="G13" s="36">
        <v>0</v>
      </c>
      <c r="H13" s="36"/>
      <c r="I13" s="36"/>
      <c r="J13" s="35"/>
      <c r="K13" s="7">
        <f t="shared" si="0"/>
        <v>10350000</v>
      </c>
      <c r="M13" s="62"/>
    </row>
    <row r="14" spans="1:14">
      <c r="B14" s="64" t="s">
        <v>6</v>
      </c>
      <c r="C14" s="18">
        <v>46181</v>
      </c>
      <c r="D14" s="18"/>
      <c r="E14" s="18"/>
      <c r="F14" s="36">
        <v>0</v>
      </c>
      <c r="G14" s="36"/>
      <c r="H14" s="36"/>
      <c r="I14" s="36"/>
      <c r="J14" s="35"/>
      <c r="K14" s="7">
        <f t="shared" si="0"/>
        <v>0</v>
      </c>
    </row>
    <row r="15" spans="1:14">
      <c r="A15" s="57" t="s">
        <v>25</v>
      </c>
      <c r="B15" s="64" t="s">
        <v>7</v>
      </c>
      <c r="C15" s="18">
        <v>46182</v>
      </c>
      <c r="D15" s="18"/>
      <c r="E15" s="18"/>
      <c r="F15" s="36">
        <v>10350000</v>
      </c>
      <c r="G15" s="36"/>
      <c r="H15" s="36"/>
      <c r="I15" s="36"/>
      <c r="J15" s="61"/>
      <c r="K15" s="7">
        <f t="shared" si="0"/>
        <v>10350000</v>
      </c>
    </row>
    <row r="16" spans="1:14">
      <c r="B16" s="64" t="s">
        <v>8</v>
      </c>
      <c r="C16" s="18">
        <v>46183</v>
      </c>
      <c r="D16" s="18"/>
      <c r="E16" s="18"/>
      <c r="F16" s="36">
        <v>0</v>
      </c>
      <c r="G16" s="36"/>
      <c r="H16" s="36"/>
      <c r="I16" s="36"/>
      <c r="J16" s="61"/>
      <c r="K16" s="7">
        <f t="shared" si="0"/>
        <v>0</v>
      </c>
    </row>
    <row r="17" spans="1:11">
      <c r="B17" s="64" t="s">
        <v>9</v>
      </c>
      <c r="C17" s="18">
        <v>46184</v>
      </c>
      <c r="D17" s="18"/>
      <c r="E17" s="18"/>
      <c r="F17" s="36">
        <v>10350000</v>
      </c>
      <c r="G17" s="36"/>
      <c r="H17" s="36"/>
      <c r="I17" s="36"/>
      <c r="J17" s="35"/>
      <c r="K17" s="7">
        <f t="shared" si="0"/>
        <v>10350000</v>
      </c>
    </row>
    <row r="18" spans="1:11">
      <c r="B18" s="64" t="s">
        <v>10</v>
      </c>
      <c r="C18" s="18">
        <v>46185</v>
      </c>
      <c r="D18" s="18"/>
      <c r="E18" s="18"/>
      <c r="F18" s="36">
        <v>10350000</v>
      </c>
      <c r="G18" s="36"/>
      <c r="H18" s="36"/>
      <c r="I18" s="36"/>
      <c r="J18" s="35"/>
      <c r="K18" s="7">
        <f t="shared" si="0"/>
        <v>10350000</v>
      </c>
    </row>
    <row r="19" spans="1:11">
      <c r="B19" s="64" t="s">
        <v>11</v>
      </c>
      <c r="C19" s="18">
        <v>46186</v>
      </c>
      <c r="D19" s="18"/>
      <c r="E19" s="18"/>
      <c r="F19" s="36">
        <v>10350000</v>
      </c>
      <c r="G19" s="36"/>
      <c r="H19" s="36"/>
      <c r="I19" s="36"/>
      <c r="J19" s="35"/>
      <c r="K19" s="7">
        <f t="shared" si="0"/>
        <v>10350000</v>
      </c>
    </row>
    <row r="20" spans="1:11">
      <c r="A20" s="19"/>
      <c r="B20" s="64" t="s">
        <v>5</v>
      </c>
      <c r="C20" s="18">
        <v>46187</v>
      </c>
      <c r="D20" s="18"/>
      <c r="E20" s="18"/>
      <c r="F20" s="36">
        <v>10350000</v>
      </c>
      <c r="G20" s="36"/>
      <c r="H20" s="36"/>
      <c r="I20" s="36"/>
      <c r="J20" s="35"/>
      <c r="K20" s="7">
        <f t="shared" si="0"/>
        <v>10350000</v>
      </c>
    </row>
    <row r="21" spans="1:11">
      <c r="A21" s="19"/>
      <c r="B21" s="64" t="s">
        <v>6</v>
      </c>
      <c r="C21" s="18">
        <v>46188</v>
      </c>
      <c r="D21" s="18"/>
      <c r="E21" s="18"/>
      <c r="F21" s="36">
        <v>0</v>
      </c>
      <c r="G21" s="36"/>
      <c r="H21" s="36"/>
      <c r="I21" s="36"/>
      <c r="J21" s="35"/>
      <c r="K21" s="7">
        <f t="shared" si="0"/>
        <v>0</v>
      </c>
    </row>
    <row r="22" spans="1:11">
      <c r="A22" s="19"/>
      <c r="B22" s="64" t="s">
        <v>7</v>
      </c>
      <c r="C22" s="18">
        <v>46189</v>
      </c>
      <c r="D22" s="18"/>
      <c r="E22" s="18"/>
      <c r="F22" s="36">
        <v>10350000</v>
      </c>
      <c r="G22" s="36"/>
      <c r="H22" s="36"/>
      <c r="I22" s="36"/>
      <c r="J22" s="35"/>
      <c r="K22" s="7">
        <f t="shared" si="0"/>
        <v>10350000</v>
      </c>
    </row>
    <row r="23" spans="1:11">
      <c r="A23" s="19"/>
      <c r="B23" s="64" t="s">
        <v>8</v>
      </c>
      <c r="C23" s="18">
        <v>46190</v>
      </c>
      <c r="D23" s="18"/>
      <c r="E23" s="18"/>
      <c r="F23" s="36">
        <v>0</v>
      </c>
      <c r="G23" s="36"/>
      <c r="H23" s="36"/>
      <c r="I23" s="36"/>
      <c r="J23" s="35"/>
      <c r="K23" s="7">
        <f t="shared" si="0"/>
        <v>0</v>
      </c>
    </row>
    <row r="24" spans="1:11">
      <c r="A24" s="19"/>
      <c r="B24" s="64" t="s">
        <v>9</v>
      </c>
      <c r="C24" s="18">
        <v>46191</v>
      </c>
      <c r="D24" s="18"/>
      <c r="E24" s="18"/>
      <c r="F24" s="36">
        <v>10350000</v>
      </c>
      <c r="G24" s="36"/>
      <c r="H24" s="36"/>
      <c r="I24" s="36"/>
      <c r="J24" s="35"/>
      <c r="K24" s="7">
        <f t="shared" si="0"/>
        <v>10350000</v>
      </c>
    </row>
    <row r="25" spans="1:11">
      <c r="A25" s="19"/>
      <c r="B25" s="64" t="s">
        <v>10</v>
      </c>
      <c r="C25" s="18">
        <v>46192</v>
      </c>
      <c r="D25" s="18"/>
      <c r="E25" s="18"/>
      <c r="F25" s="36">
        <v>10350000</v>
      </c>
      <c r="G25" s="36"/>
      <c r="H25" s="36"/>
      <c r="I25" s="36"/>
      <c r="J25" s="35"/>
      <c r="K25" s="7">
        <f t="shared" si="0"/>
        <v>10350000</v>
      </c>
    </row>
    <row r="26" spans="1:11">
      <c r="A26" s="19"/>
      <c r="B26" s="64" t="s">
        <v>11</v>
      </c>
      <c r="C26" s="18">
        <v>46193</v>
      </c>
      <c r="D26" s="18"/>
      <c r="E26" s="18"/>
      <c r="F26" s="36">
        <v>10350000</v>
      </c>
      <c r="G26" s="36"/>
      <c r="H26" s="36"/>
      <c r="I26" s="36"/>
      <c r="J26" s="35"/>
      <c r="K26" s="7">
        <f t="shared" si="0"/>
        <v>10350000</v>
      </c>
    </row>
    <row r="27" spans="1:11">
      <c r="A27" s="19"/>
      <c r="B27" s="64" t="s">
        <v>5</v>
      </c>
      <c r="C27" s="18">
        <v>46194</v>
      </c>
      <c r="D27" s="18"/>
      <c r="E27" s="18"/>
      <c r="F27" s="36">
        <v>10350000</v>
      </c>
      <c r="G27" s="36"/>
      <c r="H27" s="36"/>
      <c r="I27" s="36"/>
      <c r="J27" s="35"/>
      <c r="K27" s="7">
        <f t="shared" si="0"/>
        <v>10350000</v>
      </c>
    </row>
    <row r="28" spans="1:11">
      <c r="A28" s="19"/>
      <c r="B28" s="64" t="s">
        <v>6</v>
      </c>
      <c r="C28" s="18">
        <v>46195</v>
      </c>
      <c r="D28" s="18"/>
      <c r="E28" s="18"/>
      <c r="F28" s="36">
        <v>0</v>
      </c>
      <c r="G28" s="36"/>
      <c r="H28" s="36"/>
      <c r="I28" s="36"/>
      <c r="J28" s="35"/>
      <c r="K28" s="7">
        <f t="shared" si="0"/>
        <v>0</v>
      </c>
    </row>
    <row r="29" spans="1:11">
      <c r="A29" s="19"/>
      <c r="B29" s="64" t="s">
        <v>7</v>
      </c>
      <c r="C29" s="18">
        <v>46196</v>
      </c>
      <c r="D29" s="18"/>
      <c r="E29" s="18"/>
      <c r="F29" s="36">
        <v>10350000</v>
      </c>
      <c r="G29" s="36"/>
      <c r="H29" s="36"/>
      <c r="I29" s="36"/>
      <c r="J29" s="35"/>
      <c r="K29" s="7">
        <f t="shared" si="0"/>
        <v>10350000</v>
      </c>
    </row>
    <row r="30" spans="1:11">
      <c r="A30" s="19"/>
      <c r="B30" s="64" t="s">
        <v>8</v>
      </c>
      <c r="C30" s="18">
        <v>46197</v>
      </c>
      <c r="D30" s="18"/>
      <c r="E30" s="18"/>
      <c r="F30" s="36">
        <v>0</v>
      </c>
      <c r="G30" s="36"/>
      <c r="H30" s="36"/>
      <c r="I30" s="36"/>
      <c r="J30" s="35"/>
      <c r="K30" s="7">
        <f t="shared" si="0"/>
        <v>0</v>
      </c>
    </row>
    <row r="31" spans="1:11">
      <c r="B31" s="64" t="s">
        <v>9</v>
      </c>
      <c r="C31" s="18">
        <v>46198</v>
      </c>
      <c r="D31" s="18"/>
      <c r="E31" s="18"/>
      <c r="F31" s="36">
        <v>10350000</v>
      </c>
      <c r="G31" s="36"/>
      <c r="H31" s="36"/>
      <c r="I31" s="36"/>
      <c r="J31" s="35"/>
      <c r="K31" s="7">
        <f t="shared" si="0"/>
        <v>10350000</v>
      </c>
    </row>
    <row r="32" spans="1:11">
      <c r="B32" s="64" t="s">
        <v>10</v>
      </c>
      <c r="C32" s="18">
        <v>46199</v>
      </c>
      <c r="D32" s="18"/>
      <c r="E32" s="18"/>
      <c r="F32" s="36">
        <v>10350000</v>
      </c>
      <c r="G32" s="36"/>
      <c r="H32" s="36"/>
      <c r="I32" s="36"/>
      <c r="J32" s="35"/>
      <c r="K32" s="7">
        <f t="shared" si="0"/>
        <v>10350000</v>
      </c>
    </row>
    <row r="33" spans="1:13">
      <c r="B33" s="64" t="s">
        <v>11</v>
      </c>
      <c r="C33" s="18">
        <v>46200</v>
      </c>
      <c r="D33" s="18"/>
      <c r="E33" s="18"/>
      <c r="F33" s="36">
        <v>10350000</v>
      </c>
      <c r="G33" s="36"/>
      <c r="H33" s="36"/>
      <c r="I33" s="36"/>
      <c r="J33" s="35"/>
      <c r="K33" s="7">
        <f t="shared" si="0"/>
        <v>10350000</v>
      </c>
    </row>
    <row r="34" spans="1:13">
      <c r="B34" s="64" t="s">
        <v>5</v>
      </c>
      <c r="C34" s="18">
        <v>46201</v>
      </c>
      <c r="D34" s="18"/>
      <c r="E34" s="18"/>
      <c r="F34" s="36">
        <v>10350000</v>
      </c>
      <c r="G34" s="36"/>
      <c r="H34" s="36"/>
      <c r="I34" s="36"/>
      <c r="J34" s="35"/>
      <c r="K34" s="7">
        <f t="shared" si="0"/>
        <v>10350000</v>
      </c>
    </row>
    <row r="35" spans="1:13">
      <c r="B35" s="64" t="s">
        <v>6</v>
      </c>
      <c r="C35" s="18">
        <v>46202</v>
      </c>
      <c r="D35" s="18"/>
      <c r="E35" s="18"/>
      <c r="F35" s="36"/>
      <c r="G35" s="36">
        <v>10350000</v>
      </c>
      <c r="H35" s="36"/>
      <c r="I35" s="36"/>
      <c r="J35" s="35"/>
      <c r="K35" s="7">
        <f t="shared" si="0"/>
        <v>10350000</v>
      </c>
    </row>
    <row r="36" spans="1:13">
      <c r="B36" s="64" t="s">
        <v>7</v>
      </c>
      <c r="C36" s="18">
        <v>46203</v>
      </c>
      <c r="D36" s="18"/>
      <c r="E36" s="18"/>
      <c r="F36" s="36"/>
      <c r="G36" s="36">
        <v>10350000</v>
      </c>
      <c r="H36" s="36"/>
      <c r="I36" s="36"/>
      <c r="J36" s="35"/>
      <c r="K36" s="7">
        <f t="shared" si="0"/>
        <v>10350000</v>
      </c>
    </row>
    <row r="37" spans="1:13" ht="17.100000000000001" customHeight="1">
      <c r="B37" s="15"/>
      <c r="C37" s="20" t="s">
        <v>12</v>
      </c>
      <c r="D37" s="20"/>
      <c r="E37" s="20"/>
      <c r="F37" s="37">
        <f>SUM(F7:F36)</f>
        <v>186300000</v>
      </c>
      <c r="G37" s="37">
        <f>SUM(G7:G36)</f>
        <v>42300000</v>
      </c>
      <c r="H37" s="37">
        <f>SUM(H7:H36)</f>
        <v>0</v>
      </c>
      <c r="I37" s="37">
        <f>SUM(I7:I36)</f>
        <v>0</v>
      </c>
      <c r="J37" s="38"/>
    </row>
    <row r="38" spans="1:13" ht="17.100000000000001" customHeight="1">
      <c r="B38" s="15"/>
      <c r="C38" s="21" t="s">
        <v>13</v>
      </c>
      <c r="D38" s="21"/>
      <c r="E38" s="21"/>
      <c r="F38" s="39">
        <f>F37/30</f>
        <v>6210000</v>
      </c>
      <c r="G38" s="39">
        <f>G37/30</f>
        <v>1410000</v>
      </c>
      <c r="H38" s="39">
        <f t="shared" ref="H38:I38" si="1">H37/31</f>
        <v>0</v>
      </c>
      <c r="I38" s="39">
        <f t="shared" si="1"/>
        <v>0</v>
      </c>
      <c r="J38" s="40"/>
    </row>
    <row r="39" spans="1:13" s="3" customFormat="1" ht="17.100000000000001" customHeight="1">
      <c r="B39" s="15"/>
      <c r="C39" s="22" t="s">
        <v>14</v>
      </c>
      <c r="D39" s="22"/>
      <c r="E39" s="22"/>
      <c r="F39" s="42">
        <f>F38-F5</f>
        <v>6209900</v>
      </c>
      <c r="G39" s="42">
        <f>G38-G5</f>
        <v>1409900</v>
      </c>
      <c r="H39" s="42">
        <f>H38-H5</f>
        <v>0</v>
      </c>
      <c r="I39" s="42">
        <f>I38-I5</f>
        <v>0</v>
      </c>
      <c r="J39" s="41"/>
      <c r="K39" s="43"/>
      <c r="L39" s="52"/>
      <c r="M39" s="52"/>
    </row>
    <row r="40" spans="1:13" s="4" customFormat="1" ht="17.100000000000001" customHeight="1">
      <c r="B40" s="11"/>
      <c r="C40" s="23" t="s">
        <v>15</v>
      </c>
      <c r="D40" s="23"/>
      <c r="E40" s="23"/>
      <c r="F40" s="44"/>
      <c r="G40" s="44"/>
      <c r="H40" s="44"/>
      <c r="I40" s="44"/>
      <c r="J40" s="58" t="s">
        <v>23</v>
      </c>
      <c r="K40" s="7"/>
      <c r="L40" s="53"/>
      <c r="M40" s="53"/>
    </row>
    <row r="41" spans="1:13" s="5" customFormat="1" ht="17.100000000000001" customHeight="1">
      <c r="B41" s="11"/>
      <c r="C41" s="10" t="s">
        <v>16</v>
      </c>
      <c r="D41" s="10"/>
      <c r="E41" s="10"/>
      <c r="F41" s="45"/>
      <c r="G41" s="45"/>
      <c r="H41" s="45"/>
      <c r="I41" s="45"/>
      <c r="J41" s="45"/>
      <c r="K41" s="46"/>
      <c r="L41" s="54"/>
      <c r="M41" s="54"/>
    </row>
    <row r="42" spans="1:13" ht="24.95" customHeight="1">
      <c r="F42" s="47"/>
      <c r="G42" s="47"/>
      <c r="H42" s="47"/>
      <c r="I42" s="47"/>
      <c r="J42" s="2"/>
      <c r="M42" s="8">
        <f>73+70+95-14.8*3</f>
        <v>193.6</v>
      </c>
    </row>
    <row r="43" spans="1:13" ht="17.100000000000001" customHeight="1">
      <c r="A43" s="24"/>
      <c r="B43" s="25"/>
      <c r="C43" s="8" t="s">
        <v>17</v>
      </c>
      <c r="D43" s="26"/>
      <c r="E43" s="48" t="s">
        <v>18</v>
      </c>
      <c r="F43" s="49"/>
      <c r="G43" s="49">
        <v>0</v>
      </c>
      <c r="H43" s="49">
        <v>0</v>
      </c>
      <c r="I43" s="49">
        <v>0</v>
      </c>
      <c r="J43" s="49"/>
      <c r="L43" s="49"/>
    </row>
    <row r="44" spans="1:13" ht="17.100000000000001" customHeight="1">
      <c r="C44" s="27" t="s">
        <v>19</v>
      </c>
      <c r="D44" s="28">
        <f>D43/1000/31*365/100</f>
        <v>0</v>
      </c>
      <c r="E44" s="48" t="s">
        <v>20</v>
      </c>
      <c r="F44" s="49"/>
      <c r="G44" s="49">
        <v>0</v>
      </c>
      <c r="H44" s="49">
        <v>0</v>
      </c>
      <c r="I44" s="49">
        <v>0</v>
      </c>
      <c r="J44" s="49"/>
    </row>
    <row r="45" spans="1:13" ht="17.100000000000001" customHeight="1">
      <c r="C45" s="27"/>
      <c r="D45" s="28"/>
      <c r="E45" s="50" t="s">
        <v>21</v>
      </c>
      <c r="F45" s="49"/>
      <c r="G45" s="49">
        <v>0</v>
      </c>
      <c r="H45" s="49">
        <f>L41</f>
        <v>0</v>
      </c>
      <c r="I45" s="49">
        <v>0</v>
      </c>
    </row>
    <row r="46" spans="1:13" ht="17.100000000000001" customHeight="1">
      <c r="E46" s="50" t="s">
        <v>22</v>
      </c>
      <c r="F46" s="49">
        <v>0</v>
      </c>
      <c r="G46" s="49">
        <v>0</v>
      </c>
      <c r="H46" s="49">
        <v>0</v>
      </c>
      <c r="I46" s="49">
        <v>0</v>
      </c>
    </row>
    <row r="47" spans="1:13">
      <c r="E47" s="50" t="s">
        <v>26</v>
      </c>
      <c r="F47" s="47">
        <v>0</v>
      </c>
      <c r="G47" s="47"/>
      <c r="H47" s="47"/>
      <c r="I47" s="47"/>
    </row>
    <row r="48" spans="1:13">
      <c r="C48" s="57" t="s">
        <v>35</v>
      </c>
      <c r="D48" s="63">
        <f>(D43+F43++F44+F45+F46+F47)</f>
        <v>0</v>
      </c>
      <c r="E48" s="63"/>
      <c r="F48" s="47"/>
      <c r="G48" s="47"/>
      <c r="H48" s="47"/>
      <c r="I48" s="47"/>
    </row>
    <row r="49" spans="3:9">
      <c r="C49" s="27" t="s">
        <v>36</v>
      </c>
      <c r="D49" s="28">
        <f>(D43+F43++F44+F45+F46+F47)/1000/31*365/100</f>
        <v>0</v>
      </c>
      <c r="E49" s="28"/>
      <c r="F49" s="47"/>
      <c r="G49" s="47"/>
      <c r="H49" s="47"/>
      <c r="I49" s="47"/>
    </row>
    <row r="50" spans="3:9">
      <c r="F50" s="47"/>
      <c r="G50" s="47"/>
      <c r="H50" s="47"/>
      <c r="I50" s="47"/>
    </row>
    <row r="51" spans="3:9">
      <c r="F51" s="47"/>
      <c r="G51" s="47"/>
      <c r="H51" s="47"/>
      <c r="I51" s="47"/>
    </row>
    <row r="52" spans="3:9">
      <c r="F52" s="47"/>
      <c r="G52" s="47"/>
      <c r="H52" s="47"/>
      <c r="I52" s="47"/>
    </row>
    <row r="53" spans="3:9">
      <c r="F53" s="47"/>
      <c r="G53" s="47"/>
      <c r="H53" s="47"/>
      <c r="I53" s="47"/>
    </row>
    <row r="54" spans="3:9">
      <c r="F54" s="47"/>
      <c r="G54" s="47"/>
      <c r="H54" s="47"/>
      <c r="I54" s="47"/>
    </row>
    <row r="55" spans="3:9">
      <c r="F55" s="47"/>
      <c r="G55" s="47"/>
      <c r="H55" s="47"/>
      <c r="I55" s="47"/>
    </row>
    <row r="56" spans="3:9">
      <c r="F56" s="47"/>
      <c r="G56" s="47"/>
      <c r="H56" s="47"/>
      <c r="I56" s="47"/>
    </row>
    <row r="57" spans="3:9">
      <c r="F57" s="47"/>
      <c r="G57" s="47"/>
      <c r="H57" s="47"/>
      <c r="I57" s="47"/>
    </row>
    <row r="58" spans="3:9">
      <c r="F58" s="47"/>
      <c r="G58" s="47"/>
      <c r="H58" s="47"/>
      <c r="I58" s="47"/>
    </row>
    <row r="59" spans="3:9">
      <c r="F59" s="47"/>
      <c r="G59" s="47"/>
      <c r="H59" s="47"/>
      <c r="I59" s="47"/>
    </row>
    <row r="60" spans="3:9">
      <c r="F60" s="47"/>
      <c r="G60" s="47"/>
      <c r="H60" s="47"/>
      <c r="I60" s="47"/>
    </row>
    <row r="61" spans="3:9">
      <c r="F61" s="47"/>
      <c r="G61" s="47"/>
      <c r="H61" s="47"/>
      <c r="I61" s="47"/>
    </row>
    <row r="62" spans="3:9">
      <c r="F62" s="47"/>
      <c r="G62" s="47"/>
      <c r="H62" s="47"/>
      <c r="I62" s="47"/>
    </row>
    <row r="63" spans="3:9">
      <c r="F63" s="47"/>
      <c r="G63" s="47"/>
      <c r="H63" s="47"/>
      <c r="I63" s="47"/>
    </row>
    <row r="64" spans="3:9">
      <c r="F64" s="47"/>
      <c r="G64" s="47"/>
      <c r="H64" s="47"/>
      <c r="I64" s="47"/>
    </row>
    <row r="65" spans="6:9">
      <c r="F65" s="47"/>
      <c r="G65" s="47"/>
      <c r="H65" s="47"/>
      <c r="I65" s="47"/>
    </row>
    <row r="66" spans="6:9">
      <c r="F66" s="47"/>
      <c r="G66" s="47"/>
      <c r="H66" s="47"/>
      <c r="I66" s="47"/>
    </row>
    <row r="67" spans="6:9">
      <c r="F67" s="47"/>
      <c r="G67" s="47"/>
      <c r="H67" s="47"/>
      <c r="I67" s="47"/>
    </row>
    <row r="68" spans="6:9">
      <c r="F68" s="47"/>
      <c r="G68" s="47"/>
      <c r="H68" s="47"/>
      <c r="I68" s="47"/>
    </row>
    <row r="69" spans="6:9">
      <c r="F69" s="47"/>
      <c r="G69" s="47"/>
      <c r="H69" s="47"/>
      <c r="I69" s="47"/>
    </row>
    <row r="70" spans="6:9">
      <c r="F70" s="47"/>
      <c r="G70" s="47"/>
      <c r="H70" s="47"/>
      <c r="I70" s="47"/>
    </row>
    <row r="71" spans="6:9">
      <c r="F71" s="47"/>
      <c r="G71" s="47"/>
      <c r="H71" s="47"/>
      <c r="I71" s="47"/>
    </row>
    <row r="72" spans="6:9">
      <c r="F72" s="47"/>
      <c r="G72" s="47"/>
      <c r="H72" s="47"/>
      <c r="I72" s="47"/>
    </row>
    <row r="73" spans="6:9">
      <c r="F73" s="47"/>
      <c r="G73" s="47"/>
      <c r="H73" s="47"/>
      <c r="I73" s="47"/>
    </row>
    <row r="74" spans="6:9">
      <c r="F74" s="47"/>
      <c r="G74" s="47"/>
      <c r="H74" s="47"/>
      <c r="I74" s="47"/>
    </row>
    <row r="75" spans="6:9">
      <c r="F75" s="47"/>
      <c r="G75" s="47"/>
      <c r="H75" s="47"/>
      <c r="I75" s="47"/>
    </row>
    <row r="76" spans="6:9">
      <c r="F76" s="47"/>
      <c r="G76" s="47"/>
      <c r="H76" s="47"/>
      <c r="I76" s="47"/>
    </row>
    <row r="77" spans="6:9">
      <c r="F77" s="47"/>
      <c r="G77" s="47"/>
      <c r="H77" s="47"/>
      <c r="I77" s="47"/>
    </row>
    <row r="78" spans="6:9">
      <c r="F78" s="47"/>
      <c r="G78" s="47"/>
      <c r="H78" s="47"/>
      <c r="I78" s="47"/>
    </row>
    <row r="79" spans="6:9">
      <c r="F79" s="47"/>
      <c r="G79" s="47"/>
      <c r="H79" s="47"/>
      <c r="I79" s="47"/>
    </row>
    <row r="80" spans="6:9">
      <c r="F80" s="47"/>
      <c r="G80" s="47"/>
      <c r="H80" s="47"/>
      <c r="I80" s="47"/>
    </row>
    <row r="81" spans="6:9">
      <c r="F81" s="47"/>
      <c r="G81" s="47"/>
      <c r="H81" s="47"/>
      <c r="I81" s="47"/>
    </row>
    <row r="82" spans="6:9">
      <c r="F82" s="47"/>
      <c r="G82" s="47"/>
      <c r="H82" s="47"/>
      <c r="I82" s="47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收益填报</vt:lpstr>
      <vt:lpstr>六月 (2)</vt:lpstr>
      <vt:lpstr>六月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宋慕毅</cp:lastModifiedBy>
  <dcterms:created xsi:type="dcterms:W3CDTF">2026-03-03T08:06:06Z</dcterms:created>
  <dcterms:modified xsi:type="dcterms:W3CDTF">2026-07-01T09:32:37Z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82C931E13F670305EE25A669ED04210F</vt:lpwstr>
  </property>
  <property fmtid="{D5CDD505-2E9C-101B-9397-08002B2CF9AE}" pid="3" name="KSOProductBuildVer">
    <vt:lpwstr>2052-4.6.1.7467</vt:lpwstr>
  </property>
</Properties>
</file>